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M Roadmap" sheetId="1" r:id="rId4"/>
    <sheet state="visible" name="Async JS Roadmap" sheetId="2" r:id="rId5"/>
    <sheet state="visible" name="Interview Revision" sheetId="3" r:id="rId6"/>
    <sheet state="visible" name="Progress" sheetId="4" r:id="rId7"/>
  </sheets>
  <definedNames>
    <definedName hidden="1" localSheetId="0" name="_xlnm._FilterDatabase">'DOM Roadmap'!$A$1:$I$57</definedName>
    <definedName hidden="1" localSheetId="1" name="_xlnm._FilterDatabase">'Async JS Roadmap'!$A$1:$I$53</definedName>
    <definedName hidden="1" localSheetId="2" name="_xlnm._FilterDatabase">'Interview Revision'!$A$1:$F$16</definedName>
  </definedNames>
  <calcPr/>
  <extLst>
    <ext uri="GoogleSheetsCustomDataVersion2">
      <go:sheetsCustomData xmlns:go="http://customooxmlschemas.google.com/" r:id="rId8" roundtripDataChecksum="amHWHoHluo0Mos33lSYSXw8D1Rf2c3XuP4dscPxJPTI="/>
    </ext>
  </extLst>
</workbook>
</file>

<file path=xl/sharedStrings.xml><?xml version="1.0" encoding="utf-8"?>
<sst xmlns="http://schemas.openxmlformats.org/spreadsheetml/2006/main" count="869" uniqueCount="426">
  <si>
    <t>Area</t>
  </si>
  <si>
    <t>Sr. No.</t>
  </si>
  <si>
    <t>Must Know</t>
  </si>
  <si>
    <t>Question Type</t>
  </si>
  <si>
    <t>Practice Target</t>
  </si>
  <si>
    <t>Status</t>
  </si>
  <si>
    <t>Notes</t>
  </si>
  <si>
    <t>DOM</t>
  </si>
  <si>
    <t>Phase</t>
  </si>
  <si>
    <t>Selectors, traversal, manipulation</t>
  </si>
  <si>
    <t>Concept + coding</t>
  </si>
  <si>
    <t>Build dynamic UI from JSON</t>
  </si>
  <si>
    <t>Topic</t>
  </si>
  <si>
    <t>What to Learn</t>
  </si>
  <si>
    <t>Interview Questions / Practice</t>
  </si>
  <si>
    <t>Difficulty</t>
  </si>
  <si>
    <t>Priority</t>
  </si>
  <si>
    <t>DOM Basics</t>
  </si>
  <si>
    <t>What is DOM?</t>
  </si>
  <si>
    <t>DOM tree, document, nodes, elements, browser representation</t>
  </si>
  <si>
    <t>What is DOM? DOM vs HTML? How is DOM created?</t>
  </si>
  <si>
    <t>Not Started</t>
  </si>
  <si>
    <t>Easy</t>
  </si>
  <si>
    <t>Must Do</t>
  </si>
  <si>
    <t>Async Basics</t>
  </si>
  <si>
    <t>Synchronous vs Asynchronous</t>
  </si>
  <si>
    <t>Events, bubbling, capturing, delegation</t>
  </si>
  <si>
    <t>Blocking vs non-blocking execution</t>
  </si>
  <si>
    <t>Give real-world examples</t>
  </si>
  <si>
    <t>Implement delegated list events</t>
  </si>
  <si>
    <t>innerHTML/textContent/innerText + XSS</t>
  </si>
  <si>
    <t>Concept + debugging</t>
  </si>
  <si>
    <t>Explain tradeoffs and security</t>
  </si>
  <si>
    <t>Reflow, repaint, DocumentFragment</t>
  </si>
  <si>
    <t>Performance</t>
  </si>
  <si>
    <t>Optimize repeated DOM operations</t>
  </si>
  <si>
    <t>Call Stack</t>
  </si>
  <si>
    <t>Forms, validation, storage</t>
  </si>
  <si>
    <t>Coding</t>
  </si>
  <si>
    <t>Execution stack</t>
  </si>
  <si>
    <t>Build validated persistent form</t>
  </si>
  <si>
    <t>Explain stack behavior</t>
  </si>
  <si>
    <t>DOM Tree &amp; Node Types</t>
  </si>
  <si>
    <t>IntersectionObserver / MutationObserver</t>
  </si>
  <si>
    <t>Document, Element, Text, Comment, Node relationships</t>
  </si>
  <si>
    <t>Explain node types and DOM hierarchy</t>
  </si>
  <si>
    <t>Lazy load and observe DOM changes</t>
  </si>
  <si>
    <t>Async</t>
  </si>
  <si>
    <t>Call stack + Web APIs + event loop</t>
  </si>
  <si>
    <t>Web APIs</t>
  </si>
  <si>
    <t>Output prediction</t>
  </si>
  <si>
    <t>Timers, events, network APIs</t>
  </si>
  <si>
    <t>Solve execution-order questions</t>
  </si>
  <si>
    <t>Who executes setTimeout callback?</t>
  </si>
  <si>
    <t>Medium</t>
  </si>
  <si>
    <t>Selecting Elements</t>
  </si>
  <si>
    <t>getElementById</t>
  </si>
  <si>
    <t>Microtasks vs macrotasks</t>
  </si>
  <si>
    <t>Select one element by id</t>
  </si>
  <si>
    <t>getElementById vs querySelector</t>
  </si>
  <si>
    <t>Promise + timer + await questions</t>
  </si>
  <si>
    <t>Event Loop</t>
  </si>
  <si>
    <t>Completed</t>
  </si>
  <si>
    <t>How JS coordinates async callbacks</t>
  </si>
  <si>
    <t>Promise states, chaining, errors</t>
  </si>
  <si>
    <t>Explain event loop step-by-step</t>
  </si>
  <si>
    <t>Write Promise utilities</t>
  </si>
  <si>
    <t>Hard</t>
  </si>
  <si>
    <t>getElementsByClassName</t>
  </si>
  <si>
    <t>HTMLCollection and live collections</t>
  </si>
  <si>
    <t>HTMLCollection vs NodeList</t>
  </si>
  <si>
    <t>all/allSettled/race/any</t>
  </si>
  <si>
    <t>Concept + scenarios</t>
  </si>
  <si>
    <t>Choose correct combinator</t>
  </si>
  <si>
    <t>Task / Macrotask Queue</t>
  </si>
  <si>
    <t>Timers, events and tasks</t>
  </si>
  <si>
    <t>Metric</t>
  </si>
  <si>
    <t>setTimeout execution order</t>
  </si>
  <si>
    <t>async/await + sequential vs parallel</t>
  </si>
  <si>
    <t>getElementsByTagName</t>
  </si>
  <si>
    <t>Tag-based selection</t>
  </si>
  <si>
    <t>Refactor multiple API calls</t>
  </si>
  <si>
    <t>When would you use it?</t>
  </si>
  <si>
    <t>Important</t>
  </si>
  <si>
    <t>fetch + HTTP errors + AbortController</t>
  </si>
  <si>
    <t>Microtask Queue</t>
  </si>
  <si>
    <t>Build robust API helper</t>
  </si>
  <si>
    <t>Promises and queueMicrotask</t>
  </si>
  <si>
    <t>querySelector</t>
  </si>
  <si>
    <t>Why before timers?</t>
  </si>
  <si>
    <t>CSS selector based selection</t>
  </si>
  <si>
    <t>querySelector vs getElementById</t>
  </si>
  <si>
    <t>debounce + throttle</t>
  </si>
  <si>
    <t>Machine coding</t>
  </si>
  <si>
    <t>Autocomplete/search UI</t>
  </si>
  <si>
    <t>Microtask vs Macrotask</t>
  </si>
  <si>
    <t>Scheduling priority</t>
  </si>
  <si>
    <t>Predict mixed Promise/timer output</t>
  </si>
  <si>
    <t>querySelectorAll</t>
  </si>
  <si>
    <t>NodeList and static collection</t>
  </si>
  <si>
    <t>NodeList vs HTMLCollection</t>
  </si>
  <si>
    <t>retry + timeout + concurrency limit</t>
  </si>
  <si>
    <t>Advanced coding</t>
  </si>
  <si>
    <t>Implement async task runner</t>
  </si>
  <si>
    <t>Timers</t>
  </si>
  <si>
    <t>Node</t>
  </si>
  <si>
    <t>setTimeout</t>
  </si>
  <si>
    <t>Node event loop + nextTick</t>
  </si>
  <si>
    <t>Traversal</t>
  </si>
  <si>
    <t>Delay and callback scheduling</t>
  </si>
  <si>
    <t>Advanced concept</t>
  </si>
  <si>
    <t>parentElement / parentNode</t>
  </si>
  <si>
    <t>Why 0ms is not immediate</t>
  </si>
  <si>
    <t>Compare browser vs Node scheduling</t>
  </si>
  <si>
    <t>Move upward in DOM</t>
  </si>
  <si>
    <t>parentElement vs parentNode</t>
  </si>
  <si>
    <t>setInterval</t>
  </si>
  <si>
    <t>Repeated scheduling</t>
  </si>
  <si>
    <t>children / childNodes</t>
  </si>
  <si>
    <t>Move downward in DOM</t>
  </si>
  <si>
    <t>setInterval vs recursive setTimeout</t>
  </si>
  <si>
    <t>children vs childNodes</t>
  </si>
  <si>
    <t>clearTimeout / clearInterval</t>
  </si>
  <si>
    <t>first/last/next/previous</t>
  </si>
  <si>
    <t>Cancel scheduled work</t>
  </si>
  <si>
    <t>Sibling and child traversal</t>
  </si>
  <si>
    <t>Build cancellable timer</t>
  </si>
  <si>
    <t>Element vs Node traversal</t>
  </si>
  <si>
    <t>Async JS</t>
  </si>
  <si>
    <t>Content</t>
  </si>
  <si>
    <t>Callbacks</t>
  </si>
  <si>
    <t>Overall</t>
  </si>
  <si>
    <t>textContent</t>
  </si>
  <si>
    <t>Callback Functions</t>
  </si>
  <si>
    <t>Read/write text</t>
  </si>
  <si>
    <t>Functions passed to async APIs</t>
  </si>
  <si>
    <t>textContent vs innerText</t>
  </si>
  <si>
    <t>What is callback hell?</t>
  </si>
  <si>
    <t>innerText</t>
  </si>
  <si>
    <t>Rendered text behavior</t>
  </si>
  <si>
    <t>Callback Hell</t>
  </si>
  <si>
    <t>When does innerText differ?</t>
  </si>
  <si>
    <t>Nested async callbacks</t>
  </si>
  <si>
    <t>innerHTML</t>
  </si>
  <si>
    <t>Read/write HTML</t>
  </si>
  <si>
    <t>innerHTML risks and XSS</t>
  </si>
  <si>
    <t>How do Promises solve it?</t>
  </si>
  <si>
    <t>Total Topics</t>
  </si>
  <si>
    <t>Promises</t>
  </si>
  <si>
    <t>Promise Basics</t>
  </si>
  <si>
    <t>Pending, fulfilled, rejected</t>
  </si>
  <si>
    <t>Explain Promise lifecycle</t>
  </si>
  <si>
    <t>Creating Promises</t>
  </si>
  <si>
    <t>new Promise, resolve, reject</t>
  </si>
  <si>
    <t>Write custom Promise function</t>
  </si>
  <si>
    <t>then / catch / finally</t>
  </si>
  <si>
    <t>Chaining and cleanup</t>
  </si>
  <si>
    <t>Explain return values in then</t>
  </si>
  <si>
    <t>Attributes</t>
  </si>
  <si>
    <t>getAttribute / setAttribute</t>
  </si>
  <si>
    <t>Read and modify attributes</t>
  </si>
  <si>
    <t>Dynamic attribute manipulation</t>
  </si>
  <si>
    <t>Promise Chaining</t>
  </si>
  <si>
    <t>Return promises and flattening</t>
  </si>
  <si>
    <t>Predict chained output</t>
  </si>
  <si>
    <t>removeAttribute / hasAttribute</t>
  </si>
  <si>
    <t>Error Propagation</t>
  </si>
  <si>
    <t>Remove/check attributes</t>
  </si>
  <si>
    <t>Thrown errors and rejection</t>
  </si>
  <si>
    <t>Practical attribute manipulation</t>
  </si>
  <si>
    <t>Where does rejection go?</t>
  </si>
  <si>
    <t>Classes</t>
  </si>
  <si>
    <t>className</t>
  </si>
  <si>
    <t>Promise.resolve / reject</t>
  </si>
  <si>
    <t>Read/write class attribute</t>
  </si>
  <si>
    <t>Convert values/errors to promises</t>
  </si>
  <si>
    <t>className vs classList</t>
  </si>
  <si>
    <t>Use cases</t>
  </si>
  <si>
    <t>classList</t>
  </si>
  <si>
    <t>add, remove, toggle, contains, replace</t>
  </si>
  <si>
    <t>Promise Combinators</t>
  </si>
  <si>
    <t>Build theme/menu toggle</t>
  </si>
  <si>
    <t>Promise.all</t>
  </si>
  <si>
    <t>Parallel work, fail-fast</t>
  </si>
  <si>
    <t>When should all be used?</t>
  </si>
  <si>
    <t>Promise.allSettled</t>
  </si>
  <si>
    <t>Collect every result</t>
  </si>
  <si>
    <t>all vs allSettled</t>
  </si>
  <si>
    <t>Promise.race</t>
  </si>
  <si>
    <t>First settled result</t>
  </si>
  <si>
    <t>Timeout pattern</t>
  </si>
  <si>
    <t>Styles</t>
  </si>
  <si>
    <t>element.style</t>
  </si>
  <si>
    <t>Promise.any</t>
  </si>
  <si>
    <t>First fulfilled result</t>
  </si>
  <si>
    <t>any vs race</t>
  </si>
  <si>
    <t>Inline style manipulation</t>
  </si>
  <si>
    <t>Update styles dynamically</t>
  </si>
  <si>
    <t>Revision</t>
  </si>
  <si>
    <t>Async/Await</t>
  </si>
  <si>
    <t>async functions</t>
  </si>
  <si>
    <t>Async return values</t>
  </si>
  <si>
    <t>getComputedStyle</t>
  </si>
  <si>
    <t>What does async return?</t>
  </si>
  <si>
    <t>Read final computed CSS</t>
  </si>
  <si>
    <t>style vs computed style</t>
  </si>
  <si>
    <t>await</t>
  </si>
  <si>
    <t>Create &amp; Insert</t>
  </si>
  <si>
    <t>Pause async function execution</t>
  </si>
  <si>
    <t>createElement</t>
  </si>
  <si>
    <t>Does await block JS thread?</t>
  </si>
  <si>
    <t>Create elements dynamically</t>
  </si>
  <si>
    <t>Create card/list item</t>
  </si>
  <si>
    <t>try/catch</t>
  </si>
  <si>
    <t>Handle async errors</t>
  </si>
  <si>
    <t>append / appendChild</t>
  </si>
  <si>
    <t>Async error-handling practices</t>
  </si>
  <si>
    <t>Insert nodes</t>
  </si>
  <si>
    <t>append vs appendChild</t>
  </si>
  <si>
    <t>Sequential vs Parallel</t>
  </si>
  <si>
    <t>Avoid unnecessary waits</t>
  </si>
  <si>
    <t>Refactor sequential requests</t>
  </si>
  <si>
    <t>prepend / before / after</t>
  </si>
  <si>
    <t>Insert at specific positions</t>
  </si>
  <si>
    <t>Compare insertion APIs</t>
  </si>
  <si>
    <t>Fetch API</t>
  </si>
  <si>
    <t>fetch basics</t>
  </si>
  <si>
    <t>HTTP request and Response</t>
  </si>
  <si>
    <t>Explain fetch flow</t>
  </si>
  <si>
    <t>insertAdjacentHTML</t>
  </si>
  <si>
    <t>Insert HTML at positions</t>
  </si>
  <si>
    <t>Use cases and security risks</t>
  </si>
  <si>
    <t>Response.json()</t>
  </si>
  <si>
    <t>Parse response body</t>
  </si>
  <si>
    <t>Remove &amp; Replace</t>
  </si>
  <si>
    <t>Why await response.json()?</t>
  </si>
  <si>
    <t>remove / removeChild</t>
  </si>
  <si>
    <t>Delete DOM elements</t>
  </si>
  <si>
    <t>remove vs removeChild</t>
  </si>
  <si>
    <t>HTTP errors</t>
  </si>
  <si>
    <t>fetch behavior for 4xx/5xx</t>
  </si>
  <si>
    <t>replaceWith / replaceChild</t>
  </si>
  <si>
    <t>Why doesn't 404 reject fetch?</t>
  </si>
  <si>
    <t>Replace nodes</t>
  </si>
  <si>
    <t>Practical replacement</t>
  </si>
  <si>
    <t>GET / POST</t>
  </si>
  <si>
    <t>Events</t>
  </si>
  <si>
    <t>HTTP methods, body, headers</t>
  </si>
  <si>
    <t>Send JSON with fetch</t>
  </si>
  <si>
    <t>Event Basics</t>
  </si>
  <si>
    <t>Event types, event object, handlers</t>
  </si>
  <si>
    <t>What is an event?</t>
  </si>
  <si>
    <t>PUT / PATCH / DELETE</t>
  </si>
  <si>
    <t>addEventListener</t>
  </si>
  <si>
    <t>Register event handlers</t>
  </si>
  <si>
    <t>CRUD HTTP operations</t>
  </si>
  <si>
    <t>Why prefer addEventListener?</t>
  </si>
  <si>
    <t>PUT vs PATCH</t>
  </si>
  <si>
    <t>Event Object</t>
  </si>
  <si>
    <t>target, currentTarget, type</t>
  </si>
  <si>
    <t>target vs currentTarget</t>
  </si>
  <si>
    <t>Headers</t>
  </si>
  <si>
    <t>Content-Type, Authorization basics</t>
  </si>
  <si>
    <t>Why set Content-Type?</t>
  </si>
  <si>
    <t>preventDefault</t>
  </si>
  <si>
    <t>Prevent default browser behavior</t>
  </si>
  <si>
    <t>Form/link examples</t>
  </si>
  <si>
    <t>AbortController</t>
  </si>
  <si>
    <t>Cancel fetch requests</t>
  </si>
  <si>
    <t>Cancel search request</t>
  </si>
  <si>
    <t>stopPropagation</t>
  </si>
  <si>
    <t>Stop propagation</t>
  </si>
  <si>
    <t>Networking</t>
  </si>
  <si>
    <t>stopPropagation vs preventDefault</t>
  </si>
  <si>
    <t>HTTP Request Lifecycle</t>
  </si>
  <si>
    <t>DNS to response at high level</t>
  </si>
  <si>
    <t>Explain what happens after fetch</t>
  </si>
  <si>
    <t>Async Patterns</t>
  </si>
  <si>
    <t>Debouncing</t>
  </si>
  <si>
    <t>Delay until activity stops</t>
  </si>
  <si>
    <t>Search box use case</t>
  </si>
  <si>
    <t>Event Flow</t>
  </si>
  <si>
    <t>Capturing Phase</t>
  </si>
  <si>
    <t>Capture phase</t>
  </si>
  <si>
    <t>Explain event propagation order</t>
  </si>
  <si>
    <t>Throttling</t>
  </si>
  <si>
    <t>Limit execution frequency</t>
  </si>
  <si>
    <t>Scroll/resize use case</t>
  </si>
  <si>
    <t>Bubbling Phase</t>
  </si>
  <si>
    <t>Bubble phase</t>
  </si>
  <si>
    <t>Why does parent handler run?</t>
  </si>
  <si>
    <t>Concurrency Control</t>
  </si>
  <si>
    <t>Limit simultaneous async tasks</t>
  </si>
  <si>
    <t>Process 100 with limit 5</t>
  </si>
  <si>
    <t>Event Delegation</t>
  </si>
  <si>
    <t>Handle child events from parent</t>
  </si>
  <si>
    <t>Why use event delegation?</t>
  </si>
  <si>
    <t>Retry Logic</t>
  </si>
  <si>
    <t>Retry transient failures</t>
  </si>
  <si>
    <t>Forms</t>
  </si>
  <si>
    <t>Exponential backoff</t>
  </si>
  <si>
    <t>Form Elements</t>
  </si>
  <si>
    <t>input, select, textarea, checkbox, radio</t>
  </si>
  <si>
    <t>Read form values</t>
  </si>
  <si>
    <t>Timeout Pattern</t>
  </si>
  <si>
    <t>Handle slow operations</t>
  </si>
  <si>
    <t>Form Validation</t>
  </si>
  <si>
    <t>Promise timeout</t>
  </si>
  <si>
    <t>Validate values and display errors</t>
  </si>
  <si>
    <t>Build validation</t>
  </si>
  <si>
    <t>Sequential Execution</t>
  </si>
  <si>
    <t>FormData</t>
  </si>
  <si>
    <t>Run tasks one after another</t>
  </si>
  <si>
    <t>Collect form data</t>
  </si>
  <si>
    <t>Async task queue</t>
  </si>
  <si>
    <t>FormData vs manual reading</t>
  </si>
  <si>
    <t>Keyboard Events</t>
  </si>
  <si>
    <t>Parallel Execution</t>
  </si>
  <si>
    <t>keydown, keyup</t>
  </si>
  <si>
    <t>Run independent tasks together</t>
  </si>
  <si>
    <t>Build keyboard shortcut</t>
  </si>
  <si>
    <t>Optimize API calls</t>
  </si>
  <si>
    <t>Advanced</t>
  </si>
  <si>
    <t>Mouse &amp; Pointer Events</t>
  </si>
  <si>
    <t>Generator Basics</t>
  </si>
  <si>
    <t>click, mouseover, pointer events</t>
  </si>
  <si>
    <t>yield and iteration</t>
  </si>
  <si>
    <t>mouseover vs mouseenter</t>
  </si>
  <si>
    <t>Generator vs async function</t>
  </si>
  <si>
    <t>Optional</t>
  </si>
  <si>
    <t>Input &amp; Change</t>
  </si>
  <si>
    <t>In Progress</t>
  </si>
  <si>
    <t>input vs change</t>
  </si>
  <si>
    <t>When does each fire?</t>
  </si>
  <si>
    <t>Async Iterators</t>
  </si>
  <si>
    <t>for await...of</t>
  </si>
  <si>
    <t>Async iterator use cases</t>
  </si>
  <si>
    <t>DOMContentLoaded / load</t>
  </si>
  <si>
    <t>Page lifecycle events</t>
  </si>
  <si>
    <t>DOMContentLoaded vs load</t>
  </si>
  <si>
    <t>Custom Delay / Sleep</t>
  </si>
  <si>
    <t>Promise-based delay</t>
  </si>
  <si>
    <t>Implement sleep(ms)</t>
  </si>
  <si>
    <t>DocumentFragment</t>
  </si>
  <si>
    <t>Batch DOM insertion</t>
  </si>
  <si>
    <t>Why can it improve insertion?</t>
  </si>
  <si>
    <t>Event Emitter Concept</t>
  </si>
  <si>
    <t>Event-driven architecture</t>
  </si>
  <si>
    <t>Reflow &amp; Repaint</t>
  </si>
  <si>
    <t>Node event emitter concept</t>
  </si>
  <si>
    <t>Layout calculation and painting</t>
  </si>
  <si>
    <t>What causes reflow?</t>
  </si>
  <si>
    <t>Layout Thrashing</t>
  </si>
  <si>
    <t>Node.js</t>
  </si>
  <si>
    <t>Avoid alternating DOM reads/writes</t>
  </si>
  <si>
    <t>Node Event Loop</t>
  </si>
  <si>
    <t>Optimize DOM-heavy code</t>
  </si>
  <si>
    <t>Node scheduling model</t>
  </si>
  <si>
    <t>Browser vs Node event loop</t>
  </si>
  <si>
    <t>Security</t>
  </si>
  <si>
    <t>XSS &amp; DOM Injection</t>
  </si>
  <si>
    <t>Unsafe HTML insertion and sanitization</t>
  </si>
  <si>
    <t>Why can innerHTML be dangerous?</t>
  </si>
  <si>
    <t>process.nextTick</t>
  </si>
  <si>
    <t>Node microtask behavior</t>
  </si>
  <si>
    <t>nextTick vs Promise</t>
  </si>
  <si>
    <t>Storage</t>
  </si>
  <si>
    <t>localStorage</t>
  </si>
  <si>
    <t>Persist browser data</t>
  </si>
  <si>
    <t>API and limitations</t>
  </si>
  <si>
    <t>Debugging</t>
  </si>
  <si>
    <t>Async Debugging</t>
  </si>
  <si>
    <t>Trace execution and logs</t>
  </si>
  <si>
    <t>Predict console output</t>
  </si>
  <si>
    <t>sessionStorage</t>
  </si>
  <si>
    <t>Session-scoped storage</t>
  </si>
  <si>
    <t>localStorage vs sessionStorage</t>
  </si>
  <si>
    <t>Interview</t>
  </si>
  <si>
    <t>Output-Based Questions</t>
  </si>
  <si>
    <t>Mixed async execution order</t>
  </si>
  <si>
    <t>Browser APIs</t>
  </si>
  <si>
    <t>Promise + timer + await</t>
  </si>
  <si>
    <t>Cookies</t>
  </si>
  <si>
    <t>Basic cookie concepts</t>
  </si>
  <si>
    <t>Cookies vs localStorage</t>
  </si>
  <si>
    <t>URL / Location</t>
  </si>
  <si>
    <t>Read and manipulate URL</t>
  </si>
  <si>
    <t>href, pathname, search</t>
  </si>
  <si>
    <t>Async Coding</t>
  </si>
  <si>
    <t>Utility functions</t>
  </si>
  <si>
    <t>retry, timeout, concurrency</t>
  </si>
  <si>
    <t>History API</t>
  </si>
  <si>
    <t>pushState, replaceState, popstate</t>
  </si>
  <si>
    <t>How SPA routing uses it</t>
  </si>
  <si>
    <t>API Integration</t>
  </si>
  <si>
    <t>Robust API layer</t>
  </si>
  <si>
    <t>Loading, error, retry, cancellation</t>
  </si>
  <si>
    <t>IntersectionObserver</t>
  </si>
  <si>
    <t>Observe visibility</t>
  </si>
  <si>
    <t>Lazy loading use case</t>
  </si>
  <si>
    <t>Async Project</t>
  </si>
  <si>
    <t>Search app with debounce</t>
  </si>
  <si>
    <t>MutationObserver</t>
  </si>
  <si>
    <t>fetch + debounce + AbortController</t>
  </si>
  <si>
    <t>Observe DOM changes</t>
  </si>
  <si>
    <t>Practice Project</t>
  </si>
  <si>
    <t>Dynamic Todo App</t>
  </si>
  <si>
    <t>CRUD, events, localStorage, filtering</t>
  </si>
  <si>
    <t>Explain architecture</t>
  </si>
  <si>
    <t>Modal / Dropdown</t>
  </si>
  <si>
    <t>Events and propagation</t>
  </si>
  <si>
    <t>Implement without libraries</t>
  </si>
  <si>
    <t>Form Validator</t>
  </si>
  <si>
    <t>Validation, errors, events</t>
  </si>
  <si>
    <t>Explain edge cases</t>
  </si>
  <si>
    <t>DOM Coding Round</t>
  </si>
  <si>
    <t>Progress %</t>
  </si>
  <si>
    <t>Build dynamic UI from requirements</t>
  </si>
  <si>
    <t>Create table/cards/list from JSON</t>
  </si>
  <si>
    <t>DOM Debugging</t>
  </si>
  <si>
    <t>Find selector/event/state bugs</t>
  </si>
  <si>
    <t>Debug broken DOM code</t>
  </si>
  <si>
    <t>Interview Focus</t>
  </si>
  <si>
    <t>DOM: selectors → traversal → manipulation → events → bubbling/capturing → delegation → forms → storage → performance → security → browser APIs.</t>
  </si>
  <si>
    <t>Async JavaScript: call stack → Web APIs → event loop → microtasks/macrotasks → callbacks → Promises → async/await → fetch → cancellation → debounce/throttle → concurrency.</t>
  </si>
  <si>
    <t>Interview practice: output prediction → debugging → machine coding → API integration → explaining trade-offs.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</si>
</sst>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2F0D9"/>
        <bgColor rgb="FFE2F0D9"/>
      </patternFill>
    </fill>
    <fill>
      <patternFill patternType="solid">
        <fgColor rgb="FFD9EAF7"/>
        <bgColor rgb="FFD9EAF7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3" fontId="1" numFmtId="0" xfId="0" applyAlignment="1" applyBorder="1" applyFill="1" applyFont="1">
      <alignment readingOrder="0" vertical="top"/>
    </xf>
    <xf borderId="0" fillId="0" fontId="3" numFmtId="0" xfId="0" applyAlignment="1" applyFont="1">
      <alignment vertical="top"/>
    </xf>
    <xf borderId="2" fillId="0" fontId="3" numFmtId="0" xfId="0" applyAlignment="1" applyBorder="1" applyFont="1">
      <alignment readingOrder="0" vertical="top"/>
    </xf>
    <xf borderId="2" fillId="0" fontId="3" numFmtId="0" xfId="0" applyAlignment="1" applyBorder="1" applyFont="1">
      <alignment horizontal="right" readingOrder="0" vertical="top"/>
    </xf>
    <xf borderId="2" fillId="0" fontId="3" numFmtId="10" xfId="0" applyAlignment="1" applyBorder="1" applyFont="1" applyNumberFormat="1">
      <alignment horizontal="right" readingOrder="0" vertical="top"/>
    </xf>
    <xf borderId="0" fillId="0" fontId="4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</cellXfs>
  <cellStyles count="1">
    <cellStyle xfId="0" name="Normal" builtinId="0"/>
  </cellStyles>
  <dxfs count="7"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D1FAE5"/>
          <bgColor rgb="FFD1FAE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E5E7EB"/>
          <bgColor rgb="FFE5E7EB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>
        <color rgb="FF000000"/>
      </font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DBEAFE"/>
          <bgColor rgb="FFDBEAF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9.0"/>
    <col customWidth="1" min="2" max="2" width="18.0"/>
    <col customWidth="1" min="3" max="3" width="27.0"/>
    <col customWidth="1" min="4" max="5" width="55.0"/>
    <col customWidth="1" min="6" max="6" width="14.0"/>
    <col customWidth="1" min="7" max="7" width="15.57"/>
    <col customWidth="1" min="8" max="8" width="18.0"/>
    <col customWidth="1" min="9" max="9" width="28.0"/>
    <col customWidth="1" min="10" max="26" width="8.71"/>
  </cols>
  <sheetData>
    <row r="1" ht="14.25" customHeight="1">
      <c r="A1" s="2" t="s">
        <v>1</v>
      </c>
      <c r="B1" s="2" t="s">
        <v>8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5</v>
      </c>
      <c r="I1" s="2" t="s">
        <v>6</v>
      </c>
    </row>
    <row r="2" ht="14.25" customHeight="1">
      <c r="A2" s="3">
        <v>1.0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22</v>
      </c>
      <c r="G2" s="3" t="s">
        <v>23</v>
      </c>
      <c r="H2" s="4" t="s">
        <v>21</v>
      </c>
      <c r="I2" s="3"/>
    </row>
    <row r="3" ht="14.25" customHeight="1">
      <c r="A3" s="3">
        <v>2.0</v>
      </c>
      <c r="B3" s="3" t="s">
        <v>17</v>
      </c>
      <c r="C3" s="3" t="s">
        <v>42</v>
      </c>
      <c r="D3" s="3" t="s">
        <v>44</v>
      </c>
      <c r="E3" s="3" t="s">
        <v>45</v>
      </c>
      <c r="F3" s="3" t="s">
        <v>22</v>
      </c>
      <c r="G3" s="3" t="s">
        <v>23</v>
      </c>
      <c r="H3" s="4" t="s">
        <v>21</v>
      </c>
      <c r="I3" s="3"/>
    </row>
    <row r="4" ht="14.25" customHeight="1">
      <c r="A4" s="3">
        <v>3.0</v>
      </c>
      <c r="B4" s="3" t="s">
        <v>55</v>
      </c>
      <c r="C4" s="3" t="s">
        <v>56</v>
      </c>
      <c r="D4" s="3" t="s">
        <v>58</v>
      </c>
      <c r="E4" s="3" t="s">
        <v>59</v>
      </c>
      <c r="F4" s="3" t="s">
        <v>22</v>
      </c>
      <c r="G4" s="3" t="s">
        <v>23</v>
      </c>
      <c r="H4" s="4" t="s">
        <v>62</v>
      </c>
      <c r="I4" s="3"/>
    </row>
    <row r="5" ht="14.25" customHeight="1">
      <c r="A5" s="3">
        <v>4.0</v>
      </c>
      <c r="B5" s="3" t="s">
        <v>55</v>
      </c>
      <c r="C5" s="3" t="s">
        <v>68</v>
      </c>
      <c r="D5" s="3" t="s">
        <v>69</v>
      </c>
      <c r="E5" s="3" t="s">
        <v>70</v>
      </c>
      <c r="F5" s="3" t="s">
        <v>22</v>
      </c>
      <c r="G5" s="3" t="s">
        <v>23</v>
      </c>
      <c r="H5" s="4" t="s">
        <v>62</v>
      </c>
      <c r="I5" s="3"/>
    </row>
    <row r="6" ht="14.25" customHeight="1">
      <c r="A6" s="3">
        <v>5.0</v>
      </c>
      <c r="B6" s="3" t="s">
        <v>55</v>
      </c>
      <c r="C6" s="3" t="s">
        <v>79</v>
      </c>
      <c r="D6" s="3" t="s">
        <v>80</v>
      </c>
      <c r="E6" s="3" t="s">
        <v>82</v>
      </c>
      <c r="F6" s="3" t="s">
        <v>22</v>
      </c>
      <c r="G6" s="3" t="s">
        <v>83</v>
      </c>
      <c r="H6" s="4" t="s">
        <v>62</v>
      </c>
      <c r="I6" s="3"/>
    </row>
    <row r="7" ht="14.25" customHeight="1">
      <c r="A7" s="3">
        <v>6.0</v>
      </c>
      <c r="B7" s="3" t="s">
        <v>55</v>
      </c>
      <c r="C7" s="3" t="s">
        <v>88</v>
      </c>
      <c r="D7" s="3" t="s">
        <v>90</v>
      </c>
      <c r="E7" s="3" t="s">
        <v>91</v>
      </c>
      <c r="F7" s="3" t="s">
        <v>22</v>
      </c>
      <c r="G7" s="3" t="s">
        <v>23</v>
      </c>
      <c r="H7" s="4" t="s">
        <v>62</v>
      </c>
      <c r="I7" s="3"/>
    </row>
    <row r="8" ht="14.25" customHeight="1">
      <c r="A8" s="3">
        <v>7.0</v>
      </c>
      <c r="B8" s="3" t="s">
        <v>55</v>
      </c>
      <c r="C8" s="3" t="s">
        <v>98</v>
      </c>
      <c r="D8" s="3" t="s">
        <v>99</v>
      </c>
      <c r="E8" s="3" t="s">
        <v>100</v>
      </c>
      <c r="F8" s="3" t="s">
        <v>22</v>
      </c>
      <c r="G8" s="3" t="s">
        <v>23</v>
      </c>
      <c r="H8" s="4" t="s">
        <v>62</v>
      </c>
      <c r="I8" s="3"/>
    </row>
    <row r="9" ht="14.25" customHeight="1">
      <c r="A9" s="3">
        <v>8.0</v>
      </c>
      <c r="B9" s="3" t="s">
        <v>108</v>
      </c>
      <c r="C9" s="3" t="s">
        <v>111</v>
      </c>
      <c r="D9" s="3" t="s">
        <v>114</v>
      </c>
      <c r="E9" s="3" t="s">
        <v>115</v>
      </c>
      <c r="F9" s="3" t="s">
        <v>22</v>
      </c>
      <c r="G9" s="3" t="s">
        <v>23</v>
      </c>
      <c r="H9" s="4" t="s">
        <v>62</v>
      </c>
      <c r="I9" s="3"/>
    </row>
    <row r="10" ht="14.25" customHeight="1">
      <c r="A10" s="3">
        <v>9.0</v>
      </c>
      <c r="B10" s="3" t="s">
        <v>108</v>
      </c>
      <c r="C10" s="3" t="s">
        <v>118</v>
      </c>
      <c r="D10" s="3" t="s">
        <v>119</v>
      </c>
      <c r="E10" s="3" t="s">
        <v>121</v>
      </c>
      <c r="F10" s="3" t="s">
        <v>22</v>
      </c>
      <c r="G10" s="3" t="s">
        <v>23</v>
      </c>
      <c r="H10" s="4" t="s">
        <v>62</v>
      </c>
      <c r="I10" s="3"/>
    </row>
    <row r="11" ht="14.25" customHeight="1">
      <c r="A11" s="3">
        <v>10.0</v>
      </c>
      <c r="B11" s="3" t="s">
        <v>108</v>
      </c>
      <c r="C11" s="3" t="s">
        <v>123</v>
      </c>
      <c r="D11" s="3" t="s">
        <v>125</v>
      </c>
      <c r="E11" s="3" t="s">
        <v>127</v>
      </c>
      <c r="F11" s="3" t="s">
        <v>22</v>
      </c>
      <c r="G11" s="3" t="s">
        <v>83</v>
      </c>
      <c r="H11" s="4" t="s">
        <v>62</v>
      </c>
      <c r="I11" s="3"/>
    </row>
    <row r="12" ht="14.25" customHeight="1">
      <c r="A12" s="3">
        <v>11.0</v>
      </c>
      <c r="B12" s="3" t="s">
        <v>129</v>
      </c>
      <c r="C12" s="3" t="s">
        <v>132</v>
      </c>
      <c r="D12" s="3" t="s">
        <v>134</v>
      </c>
      <c r="E12" s="3" t="s">
        <v>136</v>
      </c>
      <c r="F12" s="3" t="s">
        <v>22</v>
      </c>
      <c r="G12" s="3" t="s">
        <v>23</v>
      </c>
      <c r="H12" s="4" t="s">
        <v>62</v>
      </c>
      <c r="I12" s="3"/>
    </row>
    <row r="13" ht="14.25" customHeight="1">
      <c r="A13" s="3">
        <v>12.0</v>
      </c>
      <c r="B13" s="3" t="s">
        <v>129</v>
      </c>
      <c r="C13" s="3" t="s">
        <v>138</v>
      </c>
      <c r="D13" s="3" t="s">
        <v>139</v>
      </c>
      <c r="E13" s="3" t="s">
        <v>141</v>
      </c>
      <c r="F13" s="3" t="s">
        <v>54</v>
      </c>
      <c r="G13" s="3" t="s">
        <v>83</v>
      </c>
      <c r="H13" s="4" t="s">
        <v>62</v>
      </c>
      <c r="I13" s="3"/>
    </row>
    <row r="14" ht="14.25" customHeight="1">
      <c r="A14" s="3">
        <v>13.0</v>
      </c>
      <c r="B14" s="3" t="s">
        <v>129</v>
      </c>
      <c r="C14" s="3" t="s">
        <v>143</v>
      </c>
      <c r="D14" s="3" t="s">
        <v>144</v>
      </c>
      <c r="E14" s="3" t="s">
        <v>145</v>
      </c>
      <c r="F14" s="3" t="s">
        <v>54</v>
      </c>
      <c r="G14" s="3" t="s">
        <v>23</v>
      </c>
      <c r="H14" s="4" t="s">
        <v>62</v>
      </c>
      <c r="I14" s="3"/>
    </row>
    <row r="15" ht="14.25" customHeight="1">
      <c r="A15" s="3">
        <v>14.0</v>
      </c>
      <c r="B15" s="3" t="s">
        <v>158</v>
      </c>
      <c r="C15" s="3" t="s">
        <v>159</v>
      </c>
      <c r="D15" s="3" t="s">
        <v>160</v>
      </c>
      <c r="E15" s="3" t="s">
        <v>161</v>
      </c>
      <c r="F15" s="3" t="s">
        <v>22</v>
      </c>
      <c r="G15" s="3" t="s">
        <v>23</v>
      </c>
      <c r="H15" s="4" t="s">
        <v>62</v>
      </c>
      <c r="I15" s="3"/>
    </row>
    <row r="16" ht="14.25" customHeight="1">
      <c r="A16" s="3">
        <v>15.0</v>
      </c>
      <c r="B16" s="3" t="s">
        <v>158</v>
      </c>
      <c r="C16" s="3" t="s">
        <v>165</v>
      </c>
      <c r="D16" s="3" t="s">
        <v>167</v>
      </c>
      <c r="E16" s="3" t="s">
        <v>169</v>
      </c>
      <c r="F16" s="3" t="s">
        <v>22</v>
      </c>
      <c r="G16" s="3" t="s">
        <v>83</v>
      </c>
      <c r="H16" s="4" t="s">
        <v>62</v>
      </c>
      <c r="I16" s="3"/>
    </row>
    <row r="17" ht="14.25" customHeight="1">
      <c r="A17" s="3">
        <v>16.0</v>
      </c>
      <c r="B17" s="3" t="s">
        <v>171</v>
      </c>
      <c r="C17" s="3" t="s">
        <v>172</v>
      </c>
      <c r="D17" s="3" t="s">
        <v>174</v>
      </c>
      <c r="E17" s="3" t="s">
        <v>176</v>
      </c>
      <c r="F17" s="3" t="s">
        <v>22</v>
      </c>
      <c r="G17" s="3" t="s">
        <v>83</v>
      </c>
      <c r="H17" s="4" t="s">
        <v>62</v>
      </c>
      <c r="I17" s="3"/>
    </row>
    <row r="18" ht="14.25" customHeight="1">
      <c r="A18" s="3">
        <v>17.0</v>
      </c>
      <c r="B18" s="3" t="s">
        <v>171</v>
      </c>
      <c r="C18" s="3" t="s">
        <v>178</v>
      </c>
      <c r="D18" s="3" t="s">
        <v>179</v>
      </c>
      <c r="E18" s="3" t="s">
        <v>181</v>
      </c>
      <c r="F18" s="3" t="s">
        <v>22</v>
      </c>
      <c r="G18" s="3" t="s">
        <v>23</v>
      </c>
      <c r="H18" s="4" t="s">
        <v>62</v>
      </c>
      <c r="I18" s="3"/>
    </row>
    <row r="19" ht="14.25" customHeight="1">
      <c r="A19" s="3">
        <v>18.0</v>
      </c>
      <c r="B19" s="3" t="s">
        <v>191</v>
      </c>
      <c r="C19" s="3" t="s">
        <v>192</v>
      </c>
      <c r="D19" s="3" t="s">
        <v>196</v>
      </c>
      <c r="E19" s="3" t="s">
        <v>197</v>
      </c>
      <c r="F19" s="3" t="s">
        <v>22</v>
      </c>
      <c r="G19" s="3" t="s">
        <v>83</v>
      </c>
      <c r="H19" s="4" t="s">
        <v>198</v>
      </c>
      <c r="I19" s="3"/>
    </row>
    <row r="20" ht="14.25" customHeight="1">
      <c r="A20" s="3">
        <v>19.0</v>
      </c>
      <c r="B20" s="3" t="s">
        <v>191</v>
      </c>
      <c r="C20" s="3" t="s">
        <v>202</v>
      </c>
      <c r="D20" s="3" t="s">
        <v>204</v>
      </c>
      <c r="E20" s="3" t="s">
        <v>205</v>
      </c>
      <c r="F20" s="3" t="s">
        <v>54</v>
      </c>
      <c r="G20" s="3" t="s">
        <v>83</v>
      </c>
      <c r="H20" s="4" t="s">
        <v>198</v>
      </c>
      <c r="I20" s="3"/>
    </row>
    <row r="21" ht="14.25" customHeight="1">
      <c r="A21" s="3">
        <v>20.0</v>
      </c>
      <c r="B21" s="3" t="s">
        <v>207</v>
      </c>
      <c r="C21" s="3" t="s">
        <v>209</v>
      </c>
      <c r="D21" s="3" t="s">
        <v>211</v>
      </c>
      <c r="E21" s="3" t="s">
        <v>212</v>
      </c>
      <c r="F21" s="3" t="s">
        <v>22</v>
      </c>
      <c r="G21" s="3" t="s">
        <v>23</v>
      </c>
      <c r="H21" s="4" t="s">
        <v>62</v>
      </c>
      <c r="I21" s="3"/>
    </row>
    <row r="22" ht="14.25" customHeight="1">
      <c r="A22" s="3">
        <v>21.0</v>
      </c>
      <c r="B22" s="3" t="s">
        <v>207</v>
      </c>
      <c r="C22" s="3" t="s">
        <v>215</v>
      </c>
      <c r="D22" s="3" t="s">
        <v>217</v>
      </c>
      <c r="E22" s="3" t="s">
        <v>218</v>
      </c>
      <c r="F22" s="3" t="s">
        <v>22</v>
      </c>
      <c r="G22" s="3" t="s">
        <v>23</v>
      </c>
      <c r="H22" s="4" t="s">
        <v>62</v>
      </c>
      <c r="I22" s="3"/>
    </row>
    <row r="23" ht="14.25" customHeight="1">
      <c r="A23" s="3">
        <v>22.0</v>
      </c>
      <c r="B23" s="3" t="s">
        <v>207</v>
      </c>
      <c r="C23" s="3" t="s">
        <v>222</v>
      </c>
      <c r="D23" s="3" t="s">
        <v>223</v>
      </c>
      <c r="E23" s="3" t="s">
        <v>224</v>
      </c>
      <c r="F23" s="3" t="s">
        <v>22</v>
      </c>
      <c r="G23" s="3" t="s">
        <v>83</v>
      </c>
      <c r="H23" s="4" t="s">
        <v>62</v>
      </c>
      <c r="I23" s="3"/>
    </row>
    <row r="24" ht="14.25" customHeight="1">
      <c r="A24" s="3">
        <v>23.0</v>
      </c>
      <c r="B24" s="3" t="s">
        <v>207</v>
      </c>
      <c r="C24" s="3" t="s">
        <v>229</v>
      </c>
      <c r="D24" s="3" t="s">
        <v>230</v>
      </c>
      <c r="E24" s="3" t="s">
        <v>231</v>
      </c>
      <c r="F24" s="3" t="s">
        <v>54</v>
      </c>
      <c r="G24" s="3" t="s">
        <v>83</v>
      </c>
      <c r="H24" s="4" t="s">
        <v>62</v>
      </c>
      <c r="I24" s="3"/>
    </row>
    <row r="25" ht="14.25" customHeight="1">
      <c r="A25" s="3">
        <v>24.0</v>
      </c>
      <c r="B25" s="3" t="s">
        <v>234</v>
      </c>
      <c r="C25" s="3" t="s">
        <v>236</v>
      </c>
      <c r="D25" s="3" t="s">
        <v>237</v>
      </c>
      <c r="E25" s="3" t="s">
        <v>238</v>
      </c>
      <c r="F25" s="3" t="s">
        <v>22</v>
      </c>
      <c r="G25" s="3" t="s">
        <v>83</v>
      </c>
      <c r="H25" s="4" t="s">
        <v>62</v>
      </c>
      <c r="I25" s="3"/>
    </row>
    <row r="26" ht="14.25" customHeight="1">
      <c r="A26" s="3">
        <v>25.0</v>
      </c>
      <c r="B26" s="3" t="s">
        <v>234</v>
      </c>
      <c r="C26" s="3" t="s">
        <v>241</v>
      </c>
      <c r="D26" s="3" t="s">
        <v>243</v>
      </c>
      <c r="E26" s="3" t="s">
        <v>244</v>
      </c>
      <c r="F26" s="3" t="s">
        <v>54</v>
      </c>
      <c r="G26" s="3" t="s">
        <v>83</v>
      </c>
      <c r="H26" s="4" t="s">
        <v>62</v>
      </c>
      <c r="I26" s="3"/>
    </row>
    <row r="27" ht="14.25" customHeight="1">
      <c r="A27" s="3">
        <v>26.0</v>
      </c>
      <c r="B27" s="3" t="s">
        <v>246</v>
      </c>
      <c r="C27" s="3" t="s">
        <v>249</v>
      </c>
      <c r="D27" s="3" t="s">
        <v>250</v>
      </c>
      <c r="E27" s="3" t="s">
        <v>251</v>
      </c>
      <c r="F27" s="3" t="s">
        <v>22</v>
      </c>
      <c r="G27" s="3" t="s">
        <v>23</v>
      </c>
      <c r="H27" s="4" t="s">
        <v>62</v>
      </c>
      <c r="I27" s="3"/>
    </row>
    <row r="28" ht="14.25" customHeight="1">
      <c r="A28" s="3">
        <v>27.0</v>
      </c>
      <c r="B28" s="3" t="s">
        <v>246</v>
      </c>
      <c r="C28" s="3" t="s">
        <v>253</v>
      </c>
      <c r="D28" s="3" t="s">
        <v>254</v>
      </c>
      <c r="E28" s="3" t="s">
        <v>256</v>
      </c>
      <c r="F28" s="3" t="s">
        <v>22</v>
      </c>
      <c r="G28" s="3" t="s">
        <v>23</v>
      </c>
      <c r="H28" s="4" t="s">
        <v>62</v>
      </c>
      <c r="I28" s="3"/>
    </row>
    <row r="29" ht="14.25" customHeight="1">
      <c r="A29" s="3">
        <v>28.0</v>
      </c>
      <c r="B29" s="3" t="s">
        <v>246</v>
      </c>
      <c r="C29" s="3" t="s">
        <v>258</v>
      </c>
      <c r="D29" s="3" t="s">
        <v>259</v>
      </c>
      <c r="E29" s="3" t="s">
        <v>260</v>
      </c>
      <c r="F29" s="3" t="s">
        <v>54</v>
      </c>
      <c r="G29" s="3" t="s">
        <v>23</v>
      </c>
      <c r="H29" s="4" t="s">
        <v>62</v>
      </c>
      <c r="I29" s="3"/>
    </row>
    <row r="30" ht="14.25" customHeight="1">
      <c r="A30" s="3">
        <v>29.0</v>
      </c>
      <c r="B30" s="3" t="s">
        <v>246</v>
      </c>
      <c r="C30" s="3" t="s">
        <v>264</v>
      </c>
      <c r="D30" s="3" t="s">
        <v>265</v>
      </c>
      <c r="E30" s="3" t="s">
        <v>266</v>
      </c>
      <c r="F30" s="3" t="s">
        <v>22</v>
      </c>
      <c r="G30" s="3" t="s">
        <v>23</v>
      </c>
      <c r="H30" s="4" t="s">
        <v>62</v>
      </c>
      <c r="I30" s="3"/>
    </row>
    <row r="31" ht="14.25" customHeight="1">
      <c r="A31" s="3">
        <v>30.0</v>
      </c>
      <c r="B31" s="3" t="s">
        <v>246</v>
      </c>
      <c r="C31" s="3" t="s">
        <v>270</v>
      </c>
      <c r="D31" s="3" t="s">
        <v>271</v>
      </c>
      <c r="E31" s="3" t="s">
        <v>273</v>
      </c>
      <c r="F31" s="3" t="s">
        <v>54</v>
      </c>
      <c r="G31" s="3" t="s">
        <v>23</v>
      </c>
      <c r="H31" s="4" t="s">
        <v>62</v>
      </c>
      <c r="I31" s="3"/>
    </row>
    <row r="32" ht="14.25" customHeight="1">
      <c r="A32" s="3">
        <v>31.0</v>
      </c>
      <c r="B32" s="3" t="s">
        <v>281</v>
      </c>
      <c r="C32" s="3" t="s">
        <v>282</v>
      </c>
      <c r="D32" s="3" t="s">
        <v>283</v>
      </c>
      <c r="E32" s="3" t="s">
        <v>284</v>
      </c>
      <c r="F32" s="3" t="s">
        <v>54</v>
      </c>
      <c r="G32" s="3" t="s">
        <v>23</v>
      </c>
      <c r="H32" s="4" t="s">
        <v>62</v>
      </c>
      <c r="I32" s="3"/>
    </row>
    <row r="33" ht="14.25" customHeight="1">
      <c r="A33" s="3">
        <v>32.0</v>
      </c>
      <c r="B33" s="3" t="s">
        <v>281</v>
      </c>
      <c r="C33" s="3" t="s">
        <v>288</v>
      </c>
      <c r="D33" s="3" t="s">
        <v>289</v>
      </c>
      <c r="E33" s="3" t="s">
        <v>290</v>
      </c>
      <c r="F33" s="3" t="s">
        <v>54</v>
      </c>
      <c r="G33" s="3" t="s">
        <v>23</v>
      </c>
      <c r="H33" s="4" t="s">
        <v>62</v>
      </c>
      <c r="I33" s="3"/>
    </row>
    <row r="34" ht="14.25" customHeight="1">
      <c r="A34" s="3">
        <v>33.0</v>
      </c>
      <c r="B34" s="3" t="s">
        <v>281</v>
      </c>
      <c r="C34" s="3" t="s">
        <v>294</v>
      </c>
      <c r="D34" s="3" t="s">
        <v>295</v>
      </c>
      <c r="E34" s="3" t="s">
        <v>296</v>
      </c>
      <c r="F34" s="3" t="s">
        <v>54</v>
      </c>
      <c r="G34" s="3" t="s">
        <v>23</v>
      </c>
      <c r="H34" s="4" t="s">
        <v>62</v>
      </c>
      <c r="I34" s="3"/>
    </row>
    <row r="35" ht="14.25" customHeight="1">
      <c r="A35" s="3">
        <v>34.0</v>
      </c>
      <c r="B35" s="3" t="s">
        <v>299</v>
      </c>
      <c r="C35" s="3" t="s">
        <v>301</v>
      </c>
      <c r="D35" s="3" t="s">
        <v>302</v>
      </c>
      <c r="E35" s="3" t="s">
        <v>303</v>
      </c>
      <c r="F35" s="3" t="s">
        <v>22</v>
      </c>
      <c r="G35" s="3" t="s">
        <v>23</v>
      </c>
      <c r="H35" s="4" t="s">
        <v>62</v>
      </c>
      <c r="I35" s="3"/>
    </row>
    <row r="36" ht="14.25" customHeight="1">
      <c r="A36" s="3">
        <v>35.0</v>
      </c>
      <c r="B36" s="3" t="s">
        <v>299</v>
      </c>
      <c r="C36" s="3" t="s">
        <v>306</v>
      </c>
      <c r="D36" s="3" t="s">
        <v>308</v>
      </c>
      <c r="E36" s="3" t="s">
        <v>309</v>
      </c>
      <c r="F36" s="3" t="s">
        <v>54</v>
      </c>
      <c r="G36" s="3" t="s">
        <v>23</v>
      </c>
      <c r="H36" s="4" t="s">
        <v>62</v>
      </c>
      <c r="I36" s="3"/>
    </row>
    <row r="37" ht="14.25" customHeight="1">
      <c r="A37" s="3">
        <v>36.0</v>
      </c>
      <c r="B37" s="3" t="s">
        <v>299</v>
      </c>
      <c r="C37" s="3" t="s">
        <v>311</v>
      </c>
      <c r="D37" s="3" t="s">
        <v>313</v>
      </c>
      <c r="E37" s="3" t="s">
        <v>315</v>
      </c>
      <c r="F37" s="3" t="s">
        <v>54</v>
      </c>
      <c r="G37" s="3" t="s">
        <v>83</v>
      </c>
      <c r="H37" s="4" t="s">
        <v>62</v>
      </c>
      <c r="I37" s="3"/>
    </row>
    <row r="38" ht="14.25" customHeight="1">
      <c r="A38" s="3">
        <v>37.0</v>
      </c>
      <c r="B38" s="3" t="s">
        <v>246</v>
      </c>
      <c r="C38" s="3" t="s">
        <v>316</v>
      </c>
      <c r="D38" s="3" t="s">
        <v>318</v>
      </c>
      <c r="E38" s="3" t="s">
        <v>320</v>
      </c>
      <c r="F38" s="3" t="s">
        <v>54</v>
      </c>
      <c r="G38" s="3" t="s">
        <v>83</v>
      </c>
      <c r="H38" s="4" t="s">
        <v>198</v>
      </c>
      <c r="I38" s="3"/>
    </row>
    <row r="39" ht="14.25" customHeight="1">
      <c r="A39" s="3">
        <v>38.0</v>
      </c>
      <c r="B39" s="3" t="s">
        <v>246</v>
      </c>
      <c r="C39" s="3" t="s">
        <v>323</v>
      </c>
      <c r="D39" s="3" t="s">
        <v>325</v>
      </c>
      <c r="E39" s="3" t="s">
        <v>327</v>
      </c>
      <c r="F39" s="3" t="s">
        <v>54</v>
      </c>
      <c r="G39" s="3" t="s">
        <v>83</v>
      </c>
      <c r="H39" s="4" t="s">
        <v>198</v>
      </c>
      <c r="I39" s="3"/>
    </row>
    <row r="40" ht="14.25" customHeight="1">
      <c r="A40" s="3">
        <v>39.0</v>
      </c>
      <c r="B40" s="3" t="s">
        <v>246</v>
      </c>
      <c r="C40" s="3" t="s">
        <v>330</v>
      </c>
      <c r="D40" s="3" t="s">
        <v>332</v>
      </c>
      <c r="E40" s="3" t="s">
        <v>333</v>
      </c>
      <c r="F40" s="3" t="s">
        <v>22</v>
      </c>
      <c r="G40" s="3" t="s">
        <v>23</v>
      </c>
      <c r="H40" s="4" t="s">
        <v>198</v>
      </c>
      <c r="I40" s="3"/>
    </row>
    <row r="41" ht="14.25" customHeight="1">
      <c r="A41" s="3">
        <v>40.0</v>
      </c>
      <c r="B41" s="3" t="s">
        <v>246</v>
      </c>
      <c r="C41" s="3" t="s">
        <v>337</v>
      </c>
      <c r="D41" s="3" t="s">
        <v>338</v>
      </c>
      <c r="E41" s="3" t="s">
        <v>339</v>
      </c>
      <c r="F41" s="3" t="s">
        <v>54</v>
      </c>
      <c r="G41" s="3" t="s">
        <v>23</v>
      </c>
      <c r="H41" s="4" t="s">
        <v>198</v>
      </c>
      <c r="I41" s="3"/>
    </row>
    <row r="42" ht="14.25" customHeight="1">
      <c r="A42" s="3">
        <v>41.0</v>
      </c>
      <c r="B42" s="3" t="s">
        <v>34</v>
      </c>
      <c r="C42" s="3" t="s">
        <v>343</v>
      </c>
      <c r="D42" s="3" t="s">
        <v>344</v>
      </c>
      <c r="E42" s="3" t="s">
        <v>345</v>
      </c>
      <c r="F42" s="3" t="s">
        <v>54</v>
      </c>
      <c r="G42" s="3" t="s">
        <v>83</v>
      </c>
      <c r="H42" s="4" t="s">
        <v>62</v>
      </c>
      <c r="I42" s="3"/>
    </row>
    <row r="43" ht="14.25" customHeight="1">
      <c r="A43" s="3">
        <v>42.0</v>
      </c>
      <c r="B43" s="3" t="s">
        <v>34</v>
      </c>
      <c r="C43" s="3" t="s">
        <v>348</v>
      </c>
      <c r="D43" s="3" t="s">
        <v>350</v>
      </c>
      <c r="E43" s="3" t="s">
        <v>351</v>
      </c>
      <c r="F43" s="3" t="s">
        <v>67</v>
      </c>
      <c r="G43" s="3" t="s">
        <v>23</v>
      </c>
      <c r="H43" s="4" t="s">
        <v>198</v>
      </c>
      <c r="I43" s="3"/>
    </row>
    <row r="44" ht="14.25" customHeight="1">
      <c r="A44" s="3">
        <v>43.0</v>
      </c>
      <c r="B44" s="3" t="s">
        <v>34</v>
      </c>
      <c r="C44" s="3" t="s">
        <v>352</v>
      </c>
      <c r="D44" s="3" t="s">
        <v>354</v>
      </c>
      <c r="E44" s="3" t="s">
        <v>356</v>
      </c>
      <c r="F44" s="3" t="s">
        <v>67</v>
      </c>
      <c r="G44" s="3" t="s">
        <v>83</v>
      </c>
      <c r="H44" s="4" t="s">
        <v>198</v>
      </c>
      <c r="I44" s="3"/>
    </row>
    <row r="45" ht="14.25" customHeight="1">
      <c r="A45" s="3">
        <v>44.0</v>
      </c>
      <c r="B45" s="3" t="s">
        <v>359</v>
      </c>
      <c r="C45" s="3" t="s">
        <v>360</v>
      </c>
      <c r="D45" s="3" t="s">
        <v>361</v>
      </c>
      <c r="E45" s="3" t="s">
        <v>362</v>
      </c>
      <c r="F45" s="3" t="s">
        <v>67</v>
      </c>
      <c r="G45" s="3" t="s">
        <v>23</v>
      </c>
      <c r="H45" s="4" t="s">
        <v>62</v>
      </c>
      <c r="I45" s="3"/>
    </row>
    <row r="46" ht="14.25" customHeight="1">
      <c r="A46" s="3">
        <v>45.0</v>
      </c>
      <c r="B46" s="3" t="s">
        <v>366</v>
      </c>
      <c r="C46" s="3" t="s">
        <v>367</v>
      </c>
      <c r="D46" s="3" t="s">
        <v>368</v>
      </c>
      <c r="E46" s="3" t="s">
        <v>369</v>
      </c>
      <c r="F46" s="3" t="s">
        <v>22</v>
      </c>
      <c r="G46" s="3" t="s">
        <v>23</v>
      </c>
      <c r="H46" s="4" t="s">
        <v>62</v>
      </c>
      <c r="I46" s="3"/>
    </row>
    <row r="47" ht="14.25" customHeight="1">
      <c r="A47" s="3">
        <v>46.0</v>
      </c>
      <c r="B47" s="3" t="s">
        <v>366</v>
      </c>
      <c r="C47" s="3" t="s">
        <v>374</v>
      </c>
      <c r="D47" s="3" t="s">
        <v>375</v>
      </c>
      <c r="E47" s="3" t="s">
        <v>376</v>
      </c>
      <c r="F47" s="3" t="s">
        <v>22</v>
      </c>
      <c r="G47" s="3" t="s">
        <v>83</v>
      </c>
      <c r="H47" s="4" t="s">
        <v>62</v>
      </c>
      <c r="I47" s="3"/>
    </row>
    <row r="48" ht="14.25" customHeight="1">
      <c r="A48" s="3">
        <v>47.0</v>
      </c>
      <c r="B48" s="3" t="s">
        <v>380</v>
      </c>
      <c r="C48" s="3" t="s">
        <v>382</v>
      </c>
      <c r="D48" s="3" t="s">
        <v>383</v>
      </c>
      <c r="E48" s="3" t="s">
        <v>384</v>
      </c>
      <c r="F48" s="3" t="s">
        <v>54</v>
      </c>
      <c r="G48" s="3" t="s">
        <v>83</v>
      </c>
      <c r="H48" s="4" t="s">
        <v>62</v>
      </c>
      <c r="I48" s="3"/>
    </row>
    <row r="49" ht="14.25" customHeight="1">
      <c r="A49" s="3">
        <v>48.0</v>
      </c>
      <c r="B49" s="3" t="s">
        <v>380</v>
      </c>
      <c r="C49" s="3" t="s">
        <v>385</v>
      </c>
      <c r="D49" s="3" t="s">
        <v>386</v>
      </c>
      <c r="E49" s="3" t="s">
        <v>387</v>
      </c>
      <c r="F49" s="3" t="s">
        <v>22</v>
      </c>
      <c r="G49" s="3" t="s">
        <v>83</v>
      </c>
      <c r="H49" s="4" t="s">
        <v>62</v>
      </c>
      <c r="I49" s="3"/>
    </row>
    <row r="50" ht="14.25" customHeight="1">
      <c r="A50" s="3">
        <v>49.0</v>
      </c>
      <c r="B50" s="3" t="s">
        <v>380</v>
      </c>
      <c r="C50" s="3" t="s">
        <v>391</v>
      </c>
      <c r="D50" s="3" t="s">
        <v>392</v>
      </c>
      <c r="E50" s="3" t="s">
        <v>393</v>
      </c>
      <c r="F50" s="3" t="s">
        <v>67</v>
      </c>
      <c r="G50" s="3" t="s">
        <v>83</v>
      </c>
      <c r="H50" s="4" t="s">
        <v>198</v>
      </c>
      <c r="I50" s="3"/>
    </row>
    <row r="51" ht="14.25" customHeight="1">
      <c r="A51" s="3">
        <v>50.0</v>
      </c>
      <c r="B51" s="3" t="s">
        <v>380</v>
      </c>
      <c r="C51" s="3" t="s">
        <v>397</v>
      </c>
      <c r="D51" s="3" t="s">
        <v>398</v>
      </c>
      <c r="E51" s="3" t="s">
        <v>399</v>
      </c>
      <c r="F51" s="3" t="s">
        <v>67</v>
      </c>
      <c r="G51" s="3" t="s">
        <v>83</v>
      </c>
      <c r="H51" s="3" t="s">
        <v>21</v>
      </c>
      <c r="I51" s="3"/>
    </row>
    <row r="52" ht="14.25" customHeight="1">
      <c r="A52" s="3">
        <v>51.0</v>
      </c>
      <c r="B52" s="3" t="s">
        <v>380</v>
      </c>
      <c r="C52" s="3" t="s">
        <v>402</v>
      </c>
      <c r="D52" s="3" t="s">
        <v>404</v>
      </c>
      <c r="E52" s="3" t="s">
        <v>82</v>
      </c>
      <c r="F52" s="3" t="s">
        <v>67</v>
      </c>
      <c r="G52" s="3" t="s">
        <v>83</v>
      </c>
      <c r="H52" s="3" t="s">
        <v>21</v>
      </c>
      <c r="I52" s="3"/>
    </row>
    <row r="53" ht="14.25" customHeight="1">
      <c r="A53" s="3">
        <v>52.0</v>
      </c>
      <c r="B53" s="3" t="s">
        <v>405</v>
      </c>
      <c r="C53" s="3" t="s">
        <v>406</v>
      </c>
      <c r="D53" s="3" t="s">
        <v>407</v>
      </c>
      <c r="E53" s="3" t="s">
        <v>408</v>
      </c>
      <c r="F53" s="3" t="s">
        <v>54</v>
      </c>
      <c r="G53" s="3" t="s">
        <v>23</v>
      </c>
      <c r="H53" s="3" t="s">
        <v>21</v>
      </c>
      <c r="I53" s="3"/>
    </row>
    <row r="54" ht="14.25" customHeight="1">
      <c r="A54" s="3">
        <v>53.0</v>
      </c>
      <c r="B54" s="3" t="s">
        <v>405</v>
      </c>
      <c r="C54" s="3" t="s">
        <v>409</v>
      </c>
      <c r="D54" s="3" t="s">
        <v>410</v>
      </c>
      <c r="E54" s="3" t="s">
        <v>411</v>
      </c>
      <c r="F54" s="3" t="s">
        <v>22</v>
      </c>
      <c r="G54" s="3" t="s">
        <v>83</v>
      </c>
      <c r="H54" s="3" t="s">
        <v>21</v>
      </c>
      <c r="I54" s="3"/>
    </row>
    <row r="55" ht="14.25" customHeight="1">
      <c r="A55" s="3">
        <v>54.0</v>
      </c>
      <c r="B55" s="3" t="s">
        <v>405</v>
      </c>
      <c r="C55" s="3" t="s">
        <v>412</v>
      </c>
      <c r="D55" s="3" t="s">
        <v>413</v>
      </c>
      <c r="E55" s="3" t="s">
        <v>414</v>
      </c>
      <c r="F55" s="3" t="s">
        <v>54</v>
      </c>
      <c r="G55" s="3" t="s">
        <v>83</v>
      </c>
      <c r="H55" s="3" t="s">
        <v>21</v>
      </c>
      <c r="I55" s="3"/>
    </row>
    <row r="56" ht="14.25" customHeight="1">
      <c r="A56" s="3">
        <v>55.0</v>
      </c>
      <c r="B56" s="3" t="s">
        <v>377</v>
      </c>
      <c r="C56" s="3" t="s">
        <v>415</v>
      </c>
      <c r="D56" s="3" t="s">
        <v>417</v>
      </c>
      <c r="E56" s="3" t="s">
        <v>418</v>
      </c>
      <c r="F56" s="3" t="s">
        <v>54</v>
      </c>
      <c r="G56" s="3" t="s">
        <v>23</v>
      </c>
      <c r="H56" s="3" t="s">
        <v>21</v>
      </c>
      <c r="I56" s="3"/>
    </row>
    <row r="57" ht="14.25" customHeight="1">
      <c r="A57" s="3">
        <v>56.0</v>
      </c>
      <c r="B57" s="3" t="s">
        <v>377</v>
      </c>
      <c r="C57" s="3" t="s">
        <v>419</v>
      </c>
      <c r="D57" s="3" t="s">
        <v>420</v>
      </c>
      <c r="E57" s="3" t="s">
        <v>421</v>
      </c>
      <c r="F57" s="3" t="s">
        <v>54</v>
      </c>
      <c r="G57" s="3" t="s">
        <v>23</v>
      </c>
      <c r="H57" s="3" t="s">
        <v>21</v>
      </c>
      <c r="I57" s="3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57"/>
  <conditionalFormatting sqref="H2:H57">
    <cfRule type="containsText" dxfId="1" priority="1" operator="containsText" text="Completed">
      <formula>NOT(ISERROR(SEARCH(("Completed"),(H2))))</formula>
    </cfRule>
  </conditionalFormatting>
  <conditionalFormatting sqref="H2:H57">
    <cfRule type="containsText" dxfId="3" priority="2" operator="containsText" text="Not Started">
      <formula>NOT(ISERROR(SEARCH(("Not Started"),(H2))))</formula>
    </cfRule>
  </conditionalFormatting>
  <conditionalFormatting sqref="H2:H57">
    <cfRule type="containsText" dxfId="5" priority="3" operator="containsText" text="Revision">
      <formula>NOT(ISERROR(SEARCH(("Revision"),(H2))))</formula>
    </cfRule>
  </conditionalFormatting>
  <conditionalFormatting sqref="H2">
    <cfRule type="containsText" dxfId="6" priority="4" operator="containsText" text="In Progress">
      <formula>NOT(ISERROR(SEARCH(("In Progress"),(H2))))</formula>
    </cfRule>
  </conditionalFormatting>
  <dataValidations>
    <dataValidation type="list" allowBlank="1" sqref="H2:H57">
      <formula1>"Not Started,In Progress,Completed,Revision"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8.0"/>
    <col customWidth="1" min="3" max="3" width="27.0"/>
    <col customWidth="1" min="4" max="5" width="55.0"/>
    <col customWidth="1" hidden="1" min="6" max="6" width="14.0"/>
    <col customWidth="1" min="7" max="7" width="14.0"/>
    <col customWidth="1" min="8" max="8" width="18.0"/>
    <col customWidth="1" min="9" max="9" width="28.0"/>
    <col customWidth="1" min="10" max="26" width="8.71"/>
  </cols>
  <sheetData>
    <row r="1" ht="14.25" customHeight="1">
      <c r="A1" s="2" t="s">
        <v>1</v>
      </c>
      <c r="B1" s="2" t="s">
        <v>8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5</v>
      </c>
      <c r="I1" s="2" t="s">
        <v>6</v>
      </c>
    </row>
    <row r="2" ht="14.25" customHeight="1">
      <c r="A2" s="3">
        <v>1.0</v>
      </c>
      <c r="B2" s="3" t="s">
        <v>24</v>
      </c>
      <c r="C2" s="3" t="s">
        <v>25</v>
      </c>
      <c r="D2" s="3" t="s">
        <v>27</v>
      </c>
      <c r="E2" s="3" t="s">
        <v>28</v>
      </c>
      <c r="F2" s="3" t="s">
        <v>22</v>
      </c>
      <c r="G2" s="3" t="s">
        <v>23</v>
      </c>
      <c r="H2" s="3" t="s">
        <v>21</v>
      </c>
      <c r="I2" s="3"/>
    </row>
    <row r="3" ht="14.25" customHeight="1">
      <c r="A3" s="3">
        <v>2.0</v>
      </c>
      <c r="B3" s="3" t="s">
        <v>24</v>
      </c>
      <c r="C3" s="3" t="s">
        <v>36</v>
      </c>
      <c r="D3" s="3" t="s">
        <v>39</v>
      </c>
      <c r="E3" s="3" t="s">
        <v>41</v>
      </c>
      <c r="F3" s="3" t="s">
        <v>22</v>
      </c>
      <c r="G3" s="3" t="s">
        <v>23</v>
      </c>
      <c r="H3" s="4" t="s">
        <v>21</v>
      </c>
      <c r="I3" s="3"/>
    </row>
    <row r="4" ht="14.25" customHeight="1">
      <c r="A4" s="3">
        <v>3.0</v>
      </c>
      <c r="B4" s="3" t="s">
        <v>24</v>
      </c>
      <c r="C4" s="3" t="s">
        <v>49</v>
      </c>
      <c r="D4" s="3" t="s">
        <v>51</v>
      </c>
      <c r="E4" s="3" t="s">
        <v>53</v>
      </c>
      <c r="F4" s="3" t="s">
        <v>54</v>
      </c>
      <c r="G4" s="3" t="s">
        <v>23</v>
      </c>
      <c r="H4" s="4" t="s">
        <v>21</v>
      </c>
      <c r="I4" s="3"/>
    </row>
    <row r="5" ht="14.25" customHeight="1">
      <c r="A5" s="3">
        <v>4.0</v>
      </c>
      <c r="B5" s="3" t="s">
        <v>61</v>
      </c>
      <c r="C5" s="3" t="s">
        <v>61</v>
      </c>
      <c r="D5" s="3" t="s">
        <v>63</v>
      </c>
      <c r="E5" s="3" t="s">
        <v>65</v>
      </c>
      <c r="F5" s="3" t="s">
        <v>67</v>
      </c>
      <c r="G5" s="3" t="s">
        <v>23</v>
      </c>
      <c r="H5" s="3" t="s">
        <v>21</v>
      </c>
      <c r="I5" s="3"/>
    </row>
    <row r="6" ht="14.25" customHeight="1">
      <c r="A6" s="3">
        <v>5.0</v>
      </c>
      <c r="B6" s="3" t="s">
        <v>61</v>
      </c>
      <c r="C6" s="3" t="s">
        <v>74</v>
      </c>
      <c r="D6" s="3" t="s">
        <v>75</v>
      </c>
      <c r="E6" s="3" t="s">
        <v>77</v>
      </c>
      <c r="F6" s="3" t="s">
        <v>67</v>
      </c>
      <c r="G6" s="3" t="s">
        <v>23</v>
      </c>
      <c r="H6" s="3" t="s">
        <v>21</v>
      </c>
      <c r="I6" s="3"/>
    </row>
    <row r="7" ht="14.25" customHeight="1">
      <c r="A7" s="3">
        <v>6.0</v>
      </c>
      <c r="B7" s="3" t="s">
        <v>61</v>
      </c>
      <c r="C7" s="3" t="s">
        <v>85</v>
      </c>
      <c r="D7" s="3" t="s">
        <v>87</v>
      </c>
      <c r="E7" s="3" t="s">
        <v>89</v>
      </c>
      <c r="F7" s="3" t="s">
        <v>67</v>
      </c>
      <c r="G7" s="3" t="s">
        <v>23</v>
      </c>
      <c r="H7" s="3" t="s">
        <v>21</v>
      </c>
      <c r="I7" s="3"/>
    </row>
    <row r="8" ht="14.25" customHeight="1">
      <c r="A8" s="3">
        <v>7.0</v>
      </c>
      <c r="B8" s="3" t="s">
        <v>61</v>
      </c>
      <c r="C8" s="3" t="s">
        <v>95</v>
      </c>
      <c r="D8" s="3" t="s">
        <v>96</v>
      </c>
      <c r="E8" s="3" t="s">
        <v>97</v>
      </c>
      <c r="F8" s="3" t="s">
        <v>67</v>
      </c>
      <c r="G8" s="3" t="s">
        <v>23</v>
      </c>
      <c r="H8" s="3" t="s">
        <v>21</v>
      </c>
      <c r="I8" s="3"/>
    </row>
    <row r="9" ht="14.25" customHeight="1">
      <c r="A9" s="3">
        <v>8.0</v>
      </c>
      <c r="B9" s="3" t="s">
        <v>104</v>
      </c>
      <c r="C9" s="3" t="s">
        <v>106</v>
      </c>
      <c r="D9" s="3" t="s">
        <v>109</v>
      </c>
      <c r="E9" s="3" t="s">
        <v>112</v>
      </c>
      <c r="F9" s="3" t="s">
        <v>22</v>
      </c>
      <c r="G9" s="3" t="s">
        <v>23</v>
      </c>
      <c r="H9" s="4" t="s">
        <v>62</v>
      </c>
      <c r="I9" s="3"/>
    </row>
    <row r="10" ht="14.25" customHeight="1">
      <c r="A10" s="3">
        <v>9.0</v>
      </c>
      <c r="B10" s="3" t="s">
        <v>104</v>
      </c>
      <c r="C10" s="3" t="s">
        <v>116</v>
      </c>
      <c r="D10" s="3" t="s">
        <v>117</v>
      </c>
      <c r="E10" s="3" t="s">
        <v>120</v>
      </c>
      <c r="F10" s="3" t="s">
        <v>22</v>
      </c>
      <c r="G10" s="3" t="s">
        <v>83</v>
      </c>
      <c r="H10" s="4" t="s">
        <v>62</v>
      </c>
      <c r="I10" s="3"/>
    </row>
    <row r="11" ht="14.25" customHeight="1">
      <c r="A11" s="3">
        <v>10.0</v>
      </c>
      <c r="B11" s="3" t="s">
        <v>104</v>
      </c>
      <c r="C11" s="3" t="s">
        <v>122</v>
      </c>
      <c r="D11" s="3" t="s">
        <v>124</v>
      </c>
      <c r="E11" s="3" t="s">
        <v>126</v>
      </c>
      <c r="F11" s="3" t="s">
        <v>22</v>
      </c>
      <c r="G11" s="3" t="s">
        <v>83</v>
      </c>
      <c r="H11" s="4" t="s">
        <v>62</v>
      </c>
      <c r="I11" s="3"/>
    </row>
    <row r="12" ht="14.25" customHeight="1">
      <c r="A12" s="3">
        <v>11.0</v>
      </c>
      <c r="B12" s="3" t="s">
        <v>130</v>
      </c>
      <c r="C12" s="3" t="s">
        <v>133</v>
      </c>
      <c r="D12" s="3" t="s">
        <v>135</v>
      </c>
      <c r="E12" s="3" t="s">
        <v>137</v>
      </c>
      <c r="F12" s="3" t="s">
        <v>22</v>
      </c>
      <c r="G12" s="3" t="s">
        <v>23</v>
      </c>
      <c r="H12" s="4" t="s">
        <v>62</v>
      </c>
      <c r="I12" s="3"/>
    </row>
    <row r="13" ht="14.25" customHeight="1">
      <c r="A13" s="3">
        <v>12.0</v>
      </c>
      <c r="B13" s="3" t="s">
        <v>130</v>
      </c>
      <c r="C13" s="3" t="s">
        <v>140</v>
      </c>
      <c r="D13" s="3" t="s">
        <v>142</v>
      </c>
      <c r="E13" s="3" t="s">
        <v>146</v>
      </c>
      <c r="F13" s="3" t="s">
        <v>54</v>
      </c>
      <c r="G13" s="3" t="s">
        <v>23</v>
      </c>
      <c r="H13" s="4" t="s">
        <v>62</v>
      </c>
      <c r="I13" s="3"/>
    </row>
    <row r="14" ht="14.25" customHeight="1">
      <c r="A14" s="3">
        <v>13.0</v>
      </c>
      <c r="B14" s="3" t="s">
        <v>148</v>
      </c>
      <c r="C14" s="3" t="s">
        <v>149</v>
      </c>
      <c r="D14" s="3" t="s">
        <v>150</v>
      </c>
      <c r="E14" s="3" t="s">
        <v>151</v>
      </c>
      <c r="F14" s="3" t="s">
        <v>22</v>
      </c>
      <c r="G14" s="3" t="s">
        <v>23</v>
      </c>
      <c r="H14" s="4" t="s">
        <v>62</v>
      </c>
      <c r="I14" s="3"/>
    </row>
    <row r="15" ht="14.25" customHeight="1">
      <c r="A15" s="3">
        <v>14.0</v>
      </c>
      <c r="B15" s="3" t="s">
        <v>148</v>
      </c>
      <c r="C15" s="3" t="s">
        <v>152</v>
      </c>
      <c r="D15" s="3" t="s">
        <v>153</v>
      </c>
      <c r="E15" s="3" t="s">
        <v>154</v>
      </c>
      <c r="F15" s="3" t="s">
        <v>54</v>
      </c>
      <c r="G15" s="3" t="s">
        <v>23</v>
      </c>
      <c r="H15" s="4" t="s">
        <v>62</v>
      </c>
      <c r="I15" s="3"/>
    </row>
    <row r="16" ht="14.25" customHeight="1">
      <c r="A16" s="3">
        <v>15.0</v>
      </c>
      <c r="B16" s="3" t="s">
        <v>148</v>
      </c>
      <c r="C16" s="3" t="s">
        <v>155</v>
      </c>
      <c r="D16" s="3" t="s">
        <v>156</v>
      </c>
      <c r="E16" s="3" t="s">
        <v>157</v>
      </c>
      <c r="F16" s="3" t="s">
        <v>54</v>
      </c>
      <c r="G16" s="3" t="s">
        <v>23</v>
      </c>
      <c r="H16" s="4" t="s">
        <v>62</v>
      </c>
      <c r="I16" s="3"/>
    </row>
    <row r="17" ht="14.25" customHeight="1">
      <c r="A17" s="3">
        <v>16.0</v>
      </c>
      <c r="B17" s="3" t="s">
        <v>148</v>
      </c>
      <c r="C17" s="3" t="s">
        <v>162</v>
      </c>
      <c r="D17" s="3" t="s">
        <v>163</v>
      </c>
      <c r="E17" s="3" t="s">
        <v>164</v>
      </c>
      <c r="F17" s="3" t="s">
        <v>67</v>
      </c>
      <c r="G17" s="3" t="s">
        <v>23</v>
      </c>
      <c r="H17" s="4" t="s">
        <v>62</v>
      </c>
      <c r="I17" s="3"/>
    </row>
    <row r="18" ht="14.25" customHeight="1">
      <c r="A18" s="3">
        <v>17.0</v>
      </c>
      <c r="B18" s="3" t="s">
        <v>148</v>
      </c>
      <c r="C18" s="3" t="s">
        <v>166</v>
      </c>
      <c r="D18" s="3" t="s">
        <v>168</v>
      </c>
      <c r="E18" s="3" t="s">
        <v>170</v>
      </c>
      <c r="F18" s="3" t="s">
        <v>67</v>
      </c>
      <c r="G18" s="3" t="s">
        <v>23</v>
      </c>
      <c r="H18" s="4" t="s">
        <v>62</v>
      </c>
      <c r="I18" s="3"/>
    </row>
    <row r="19" ht="14.25" customHeight="1">
      <c r="A19" s="3">
        <v>18.0</v>
      </c>
      <c r="B19" s="3" t="s">
        <v>148</v>
      </c>
      <c r="C19" s="3" t="s">
        <v>173</v>
      </c>
      <c r="D19" s="3" t="s">
        <v>175</v>
      </c>
      <c r="E19" s="3" t="s">
        <v>177</v>
      </c>
      <c r="F19" s="3" t="s">
        <v>54</v>
      </c>
      <c r="G19" s="3" t="s">
        <v>83</v>
      </c>
      <c r="H19" s="4" t="s">
        <v>62</v>
      </c>
      <c r="I19" s="3"/>
    </row>
    <row r="20" ht="14.25" customHeight="1">
      <c r="A20" s="3">
        <v>19.0</v>
      </c>
      <c r="B20" s="3" t="s">
        <v>180</v>
      </c>
      <c r="C20" s="3" t="s">
        <v>182</v>
      </c>
      <c r="D20" s="3" t="s">
        <v>183</v>
      </c>
      <c r="E20" s="3" t="s">
        <v>184</v>
      </c>
      <c r="F20" s="3" t="s">
        <v>54</v>
      </c>
      <c r="G20" s="3" t="s">
        <v>23</v>
      </c>
      <c r="H20" s="4" t="s">
        <v>62</v>
      </c>
      <c r="I20" s="3"/>
    </row>
    <row r="21" ht="14.25" customHeight="1">
      <c r="A21" s="3">
        <v>20.0</v>
      </c>
      <c r="B21" s="3" t="s">
        <v>180</v>
      </c>
      <c r="C21" s="3" t="s">
        <v>185</v>
      </c>
      <c r="D21" s="3" t="s">
        <v>186</v>
      </c>
      <c r="E21" s="3" t="s">
        <v>187</v>
      </c>
      <c r="F21" s="3" t="s">
        <v>54</v>
      </c>
      <c r="G21" s="3" t="s">
        <v>23</v>
      </c>
      <c r="H21" s="4" t="s">
        <v>62</v>
      </c>
      <c r="I21" s="3"/>
    </row>
    <row r="22" ht="14.25" customHeight="1">
      <c r="A22" s="3">
        <v>21.0</v>
      </c>
      <c r="B22" s="3" t="s">
        <v>180</v>
      </c>
      <c r="C22" s="3" t="s">
        <v>188</v>
      </c>
      <c r="D22" s="3" t="s">
        <v>189</v>
      </c>
      <c r="E22" s="3" t="s">
        <v>190</v>
      </c>
      <c r="F22" s="3" t="s">
        <v>54</v>
      </c>
      <c r="G22" s="3" t="s">
        <v>83</v>
      </c>
      <c r="H22" s="4" t="s">
        <v>62</v>
      </c>
      <c r="I22" s="3"/>
    </row>
    <row r="23" ht="14.25" customHeight="1">
      <c r="A23" s="3">
        <v>22.0</v>
      </c>
      <c r="B23" s="3" t="s">
        <v>180</v>
      </c>
      <c r="C23" s="3" t="s">
        <v>193</v>
      </c>
      <c r="D23" s="3" t="s">
        <v>194</v>
      </c>
      <c r="E23" s="3" t="s">
        <v>195</v>
      </c>
      <c r="F23" s="3" t="s">
        <v>54</v>
      </c>
      <c r="G23" s="3" t="s">
        <v>83</v>
      </c>
      <c r="H23" s="4" t="s">
        <v>62</v>
      </c>
      <c r="I23" s="3"/>
    </row>
    <row r="24" ht="14.25" customHeight="1">
      <c r="A24" s="3">
        <v>23.0</v>
      </c>
      <c r="B24" s="3" t="s">
        <v>199</v>
      </c>
      <c r="C24" s="3" t="s">
        <v>200</v>
      </c>
      <c r="D24" s="3" t="s">
        <v>201</v>
      </c>
      <c r="E24" s="3" t="s">
        <v>203</v>
      </c>
      <c r="F24" s="3" t="s">
        <v>22</v>
      </c>
      <c r="G24" s="3" t="s">
        <v>23</v>
      </c>
      <c r="H24" s="4" t="s">
        <v>62</v>
      </c>
      <c r="I24" s="3"/>
    </row>
    <row r="25" ht="14.25" customHeight="1">
      <c r="A25" s="3">
        <v>24.0</v>
      </c>
      <c r="B25" s="3" t="s">
        <v>199</v>
      </c>
      <c r="C25" s="3" t="s">
        <v>206</v>
      </c>
      <c r="D25" s="3" t="s">
        <v>208</v>
      </c>
      <c r="E25" s="3" t="s">
        <v>210</v>
      </c>
      <c r="F25" s="3" t="s">
        <v>67</v>
      </c>
      <c r="G25" s="3" t="s">
        <v>23</v>
      </c>
      <c r="H25" s="4" t="s">
        <v>62</v>
      </c>
      <c r="I25" s="3"/>
    </row>
    <row r="26" ht="14.25" customHeight="1">
      <c r="A26" s="3">
        <v>25.0</v>
      </c>
      <c r="B26" s="3" t="s">
        <v>199</v>
      </c>
      <c r="C26" s="3" t="s">
        <v>213</v>
      </c>
      <c r="D26" s="3" t="s">
        <v>214</v>
      </c>
      <c r="E26" s="3" t="s">
        <v>216</v>
      </c>
      <c r="F26" s="3" t="s">
        <v>54</v>
      </c>
      <c r="G26" s="3" t="s">
        <v>23</v>
      </c>
      <c r="H26" s="4" t="s">
        <v>62</v>
      </c>
      <c r="I26" s="3"/>
    </row>
    <row r="27" ht="14.25" customHeight="1">
      <c r="A27" s="3">
        <v>26.0</v>
      </c>
      <c r="B27" s="3" t="s">
        <v>199</v>
      </c>
      <c r="C27" s="3" t="s">
        <v>219</v>
      </c>
      <c r="D27" s="3" t="s">
        <v>220</v>
      </c>
      <c r="E27" s="3" t="s">
        <v>221</v>
      </c>
      <c r="F27" s="3" t="s">
        <v>67</v>
      </c>
      <c r="G27" s="3" t="s">
        <v>23</v>
      </c>
      <c r="H27" s="4" t="s">
        <v>62</v>
      </c>
      <c r="I27" s="3"/>
    </row>
    <row r="28" ht="14.25" customHeight="1">
      <c r="A28" s="3">
        <v>27.0</v>
      </c>
      <c r="B28" s="3" t="s">
        <v>225</v>
      </c>
      <c r="C28" s="3" t="s">
        <v>226</v>
      </c>
      <c r="D28" s="3" t="s">
        <v>227</v>
      </c>
      <c r="E28" s="3" t="s">
        <v>228</v>
      </c>
      <c r="F28" s="3" t="s">
        <v>22</v>
      </c>
      <c r="G28" s="3" t="s">
        <v>23</v>
      </c>
      <c r="H28" s="4" t="s">
        <v>62</v>
      </c>
      <c r="I28" s="3"/>
    </row>
    <row r="29" ht="14.25" customHeight="1">
      <c r="A29" s="3">
        <v>28.0</v>
      </c>
      <c r="B29" s="3" t="s">
        <v>225</v>
      </c>
      <c r="C29" s="3" t="s">
        <v>232</v>
      </c>
      <c r="D29" s="3" t="s">
        <v>233</v>
      </c>
      <c r="E29" s="3" t="s">
        <v>235</v>
      </c>
      <c r="F29" s="3" t="s">
        <v>54</v>
      </c>
      <c r="G29" s="3" t="s">
        <v>23</v>
      </c>
      <c r="H29" s="4" t="s">
        <v>62</v>
      </c>
      <c r="I29" s="3"/>
    </row>
    <row r="30" ht="14.25" customHeight="1">
      <c r="A30" s="3">
        <v>29.0</v>
      </c>
      <c r="B30" s="3" t="s">
        <v>225</v>
      </c>
      <c r="C30" s="3" t="s">
        <v>239</v>
      </c>
      <c r="D30" s="3" t="s">
        <v>240</v>
      </c>
      <c r="E30" s="3" t="s">
        <v>242</v>
      </c>
      <c r="F30" s="3" t="s">
        <v>67</v>
      </c>
      <c r="G30" s="3" t="s">
        <v>23</v>
      </c>
      <c r="H30" s="4" t="s">
        <v>62</v>
      </c>
      <c r="I30" s="3"/>
    </row>
    <row r="31" ht="14.25" customHeight="1">
      <c r="A31" s="3">
        <v>30.0</v>
      </c>
      <c r="B31" s="3" t="s">
        <v>225</v>
      </c>
      <c r="C31" s="3" t="s">
        <v>245</v>
      </c>
      <c r="D31" s="3" t="s">
        <v>247</v>
      </c>
      <c r="E31" s="3" t="s">
        <v>248</v>
      </c>
      <c r="F31" s="3" t="s">
        <v>54</v>
      </c>
      <c r="G31" s="3" t="s">
        <v>23</v>
      </c>
      <c r="H31" s="4" t="s">
        <v>62</v>
      </c>
      <c r="I31" s="3"/>
    </row>
    <row r="32" ht="14.25" customHeight="1">
      <c r="A32" s="3">
        <v>31.0</v>
      </c>
      <c r="B32" s="3" t="s">
        <v>225</v>
      </c>
      <c r="C32" s="3" t="s">
        <v>252</v>
      </c>
      <c r="D32" s="3" t="s">
        <v>255</v>
      </c>
      <c r="E32" s="3" t="s">
        <v>257</v>
      </c>
      <c r="F32" s="3" t="s">
        <v>54</v>
      </c>
      <c r="G32" s="3" t="s">
        <v>83</v>
      </c>
      <c r="H32" s="4" t="s">
        <v>62</v>
      </c>
      <c r="I32" s="3"/>
    </row>
    <row r="33" ht="14.25" customHeight="1">
      <c r="A33" s="3">
        <v>32.0</v>
      </c>
      <c r="B33" s="3" t="s">
        <v>225</v>
      </c>
      <c r="C33" s="3" t="s">
        <v>261</v>
      </c>
      <c r="D33" s="3" t="s">
        <v>262</v>
      </c>
      <c r="E33" s="3" t="s">
        <v>263</v>
      </c>
      <c r="F33" s="3" t="s">
        <v>54</v>
      </c>
      <c r="G33" s="3" t="s">
        <v>83</v>
      </c>
      <c r="H33" s="4" t="s">
        <v>62</v>
      </c>
      <c r="I33" s="3"/>
    </row>
    <row r="34" ht="14.25" customHeight="1">
      <c r="A34" s="3">
        <v>33.0</v>
      </c>
      <c r="B34" s="3" t="s">
        <v>225</v>
      </c>
      <c r="C34" s="3" t="s">
        <v>267</v>
      </c>
      <c r="D34" s="3" t="s">
        <v>268</v>
      </c>
      <c r="E34" s="3" t="s">
        <v>269</v>
      </c>
      <c r="F34" s="3" t="s">
        <v>67</v>
      </c>
      <c r="G34" s="3" t="s">
        <v>83</v>
      </c>
      <c r="H34" s="4" t="s">
        <v>62</v>
      </c>
      <c r="I34" s="3"/>
    </row>
    <row r="35" ht="14.25" customHeight="1">
      <c r="A35" s="3">
        <v>34.0</v>
      </c>
      <c r="B35" s="3" t="s">
        <v>272</v>
      </c>
      <c r="C35" s="3" t="s">
        <v>274</v>
      </c>
      <c r="D35" s="3" t="s">
        <v>275</v>
      </c>
      <c r="E35" s="3" t="s">
        <v>276</v>
      </c>
      <c r="F35" s="3" t="s">
        <v>67</v>
      </c>
      <c r="G35" s="3" t="s">
        <v>83</v>
      </c>
      <c r="H35" s="4" t="s">
        <v>62</v>
      </c>
      <c r="I35" s="3"/>
    </row>
    <row r="36" ht="14.25" customHeight="1">
      <c r="A36" s="3">
        <v>35.0</v>
      </c>
      <c r="B36" s="3" t="s">
        <v>277</v>
      </c>
      <c r="C36" s="3" t="s">
        <v>278</v>
      </c>
      <c r="D36" s="3" t="s">
        <v>279</v>
      </c>
      <c r="E36" s="3" t="s">
        <v>280</v>
      </c>
      <c r="F36" s="3" t="s">
        <v>54</v>
      </c>
      <c r="G36" s="3" t="s">
        <v>23</v>
      </c>
      <c r="H36" s="4" t="s">
        <v>62</v>
      </c>
      <c r="I36" s="3"/>
    </row>
    <row r="37" ht="14.25" customHeight="1">
      <c r="A37" s="3">
        <v>36.0</v>
      </c>
      <c r="B37" s="3" t="s">
        <v>277</v>
      </c>
      <c r="C37" s="3" t="s">
        <v>285</v>
      </c>
      <c r="D37" s="3" t="s">
        <v>286</v>
      </c>
      <c r="E37" s="3" t="s">
        <v>287</v>
      </c>
      <c r="F37" s="3" t="s">
        <v>54</v>
      </c>
      <c r="G37" s="3" t="s">
        <v>83</v>
      </c>
      <c r="H37" s="4" t="s">
        <v>198</v>
      </c>
      <c r="I37" s="3"/>
    </row>
    <row r="38" ht="14.25" customHeight="1">
      <c r="A38" s="3">
        <v>37.0</v>
      </c>
      <c r="B38" s="3" t="s">
        <v>277</v>
      </c>
      <c r="C38" s="3" t="s">
        <v>291</v>
      </c>
      <c r="D38" s="3" t="s">
        <v>292</v>
      </c>
      <c r="E38" s="3" t="s">
        <v>293</v>
      </c>
      <c r="F38" s="3" t="s">
        <v>67</v>
      </c>
      <c r="G38" s="3" t="s">
        <v>83</v>
      </c>
      <c r="H38" s="4" t="s">
        <v>62</v>
      </c>
      <c r="I38" s="3"/>
    </row>
    <row r="39" ht="14.25" customHeight="1">
      <c r="A39" s="3">
        <v>38.0</v>
      </c>
      <c r="B39" s="3" t="s">
        <v>277</v>
      </c>
      <c r="C39" s="3" t="s">
        <v>297</v>
      </c>
      <c r="D39" s="3" t="s">
        <v>298</v>
      </c>
      <c r="E39" s="3" t="s">
        <v>300</v>
      </c>
      <c r="F39" s="3" t="s">
        <v>67</v>
      </c>
      <c r="G39" s="3" t="s">
        <v>83</v>
      </c>
      <c r="H39" s="4" t="s">
        <v>198</v>
      </c>
      <c r="I39" s="3"/>
    </row>
    <row r="40" ht="14.25" customHeight="1">
      <c r="A40" s="3">
        <v>39.0</v>
      </c>
      <c r="B40" s="3" t="s">
        <v>277</v>
      </c>
      <c r="C40" s="3" t="s">
        <v>304</v>
      </c>
      <c r="D40" s="3" t="s">
        <v>305</v>
      </c>
      <c r="E40" s="3" t="s">
        <v>307</v>
      </c>
      <c r="F40" s="3" t="s">
        <v>67</v>
      </c>
      <c r="G40" s="3" t="s">
        <v>83</v>
      </c>
      <c r="H40" s="4" t="s">
        <v>198</v>
      </c>
      <c r="I40" s="3"/>
    </row>
    <row r="41" ht="14.25" customHeight="1">
      <c r="A41" s="3">
        <v>40.0</v>
      </c>
      <c r="B41" s="3" t="s">
        <v>277</v>
      </c>
      <c r="C41" s="3" t="s">
        <v>310</v>
      </c>
      <c r="D41" s="3" t="s">
        <v>312</v>
      </c>
      <c r="E41" s="3" t="s">
        <v>314</v>
      </c>
      <c r="F41" s="3" t="s">
        <v>54</v>
      </c>
      <c r="G41" s="3" t="s">
        <v>23</v>
      </c>
      <c r="H41" s="4" t="s">
        <v>198</v>
      </c>
      <c r="I41" s="3"/>
    </row>
    <row r="42" ht="14.25" customHeight="1">
      <c r="A42" s="3">
        <v>41.0</v>
      </c>
      <c r="B42" s="3" t="s">
        <v>277</v>
      </c>
      <c r="C42" s="3" t="s">
        <v>317</v>
      </c>
      <c r="D42" s="3" t="s">
        <v>319</v>
      </c>
      <c r="E42" s="3" t="s">
        <v>321</v>
      </c>
      <c r="F42" s="3" t="s">
        <v>54</v>
      </c>
      <c r="G42" s="3" t="s">
        <v>23</v>
      </c>
      <c r="H42" s="4" t="s">
        <v>198</v>
      </c>
      <c r="I42" s="3"/>
    </row>
    <row r="43" ht="14.25" customHeight="1">
      <c r="A43" s="3">
        <v>42.0</v>
      </c>
      <c r="B43" s="3" t="s">
        <v>322</v>
      </c>
      <c r="C43" s="3" t="s">
        <v>324</v>
      </c>
      <c r="D43" s="3" t="s">
        <v>326</v>
      </c>
      <c r="E43" s="3" t="s">
        <v>328</v>
      </c>
      <c r="F43" s="3" t="s">
        <v>67</v>
      </c>
      <c r="G43" s="3" t="s">
        <v>329</v>
      </c>
      <c r="H43" s="4" t="s">
        <v>62</v>
      </c>
      <c r="I43" s="3"/>
    </row>
    <row r="44" ht="14.25" customHeight="1">
      <c r="A44" s="3">
        <v>43.0</v>
      </c>
      <c r="B44" s="3" t="s">
        <v>322</v>
      </c>
      <c r="C44" s="3" t="s">
        <v>334</v>
      </c>
      <c r="D44" s="3" t="s">
        <v>335</v>
      </c>
      <c r="E44" s="3" t="s">
        <v>336</v>
      </c>
      <c r="F44" s="3" t="s">
        <v>67</v>
      </c>
      <c r="G44" s="3" t="s">
        <v>83</v>
      </c>
      <c r="H44" s="3" t="s">
        <v>21</v>
      </c>
      <c r="I44" s="3"/>
    </row>
    <row r="45" ht="14.25" customHeight="1">
      <c r="A45" s="3">
        <v>44.0</v>
      </c>
      <c r="B45" s="3" t="s">
        <v>322</v>
      </c>
      <c r="C45" s="3" t="s">
        <v>340</v>
      </c>
      <c r="D45" s="3" t="s">
        <v>341</v>
      </c>
      <c r="E45" s="3" t="s">
        <v>342</v>
      </c>
      <c r="F45" s="3" t="s">
        <v>22</v>
      </c>
      <c r="G45" s="3" t="s">
        <v>83</v>
      </c>
      <c r="H45" s="3" t="s">
        <v>21</v>
      </c>
      <c r="I45" s="3"/>
    </row>
    <row r="46" ht="14.25" customHeight="1">
      <c r="A46" s="3">
        <v>45.0</v>
      </c>
      <c r="B46" s="3" t="s">
        <v>322</v>
      </c>
      <c r="C46" s="3" t="s">
        <v>346</v>
      </c>
      <c r="D46" s="3" t="s">
        <v>347</v>
      </c>
      <c r="E46" s="3" t="s">
        <v>349</v>
      </c>
      <c r="F46" s="3" t="s">
        <v>54</v>
      </c>
      <c r="G46" s="3" t="s">
        <v>83</v>
      </c>
      <c r="H46" s="3" t="s">
        <v>21</v>
      </c>
      <c r="I46" s="3"/>
    </row>
    <row r="47" ht="14.25" customHeight="1">
      <c r="A47" s="3">
        <v>46.0</v>
      </c>
      <c r="B47" s="3" t="s">
        <v>353</v>
      </c>
      <c r="C47" s="3" t="s">
        <v>355</v>
      </c>
      <c r="D47" s="3" t="s">
        <v>357</v>
      </c>
      <c r="E47" s="3" t="s">
        <v>358</v>
      </c>
      <c r="F47" s="3" t="s">
        <v>67</v>
      </c>
      <c r="G47" s="3" t="s">
        <v>23</v>
      </c>
      <c r="H47" s="3" t="s">
        <v>21</v>
      </c>
      <c r="I47" s="3"/>
    </row>
    <row r="48" ht="14.25" customHeight="1">
      <c r="A48" s="3">
        <v>47.0</v>
      </c>
      <c r="B48" s="3" t="s">
        <v>353</v>
      </c>
      <c r="C48" s="3" t="s">
        <v>363</v>
      </c>
      <c r="D48" s="3" t="s">
        <v>364</v>
      </c>
      <c r="E48" s="3" t="s">
        <v>365</v>
      </c>
      <c r="F48" s="3" t="s">
        <v>67</v>
      </c>
      <c r="G48" s="3" t="s">
        <v>322</v>
      </c>
      <c r="H48" s="3" t="s">
        <v>21</v>
      </c>
      <c r="I48" s="3"/>
    </row>
    <row r="49" ht="14.25" customHeight="1">
      <c r="A49" s="3">
        <v>48.0</v>
      </c>
      <c r="B49" s="3" t="s">
        <v>370</v>
      </c>
      <c r="C49" s="3" t="s">
        <v>371</v>
      </c>
      <c r="D49" s="3" t="s">
        <v>372</v>
      </c>
      <c r="E49" s="3" t="s">
        <v>373</v>
      </c>
      <c r="F49" s="3" t="s">
        <v>67</v>
      </c>
      <c r="G49" s="3" t="s">
        <v>23</v>
      </c>
      <c r="H49" s="3" t="s">
        <v>21</v>
      </c>
      <c r="I49" s="3"/>
    </row>
    <row r="50" ht="14.25" customHeight="1">
      <c r="A50" s="3">
        <v>49.0</v>
      </c>
      <c r="B50" s="3" t="s">
        <v>377</v>
      </c>
      <c r="C50" s="3" t="s">
        <v>378</v>
      </c>
      <c r="D50" s="3" t="s">
        <v>379</v>
      </c>
      <c r="E50" s="3" t="s">
        <v>381</v>
      </c>
      <c r="F50" s="3" t="s">
        <v>67</v>
      </c>
      <c r="G50" s="3" t="s">
        <v>23</v>
      </c>
      <c r="H50" s="3" t="s">
        <v>21</v>
      </c>
      <c r="I50" s="3"/>
    </row>
    <row r="51" ht="14.25" customHeight="1">
      <c r="A51" s="3">
        <v>50.0</v>
      </c>
      <c r="B51" s="3" t="s">
        <v>377</v>
      </c>
      <c r="C51" s="3" t="s">
        <v>388</v>
      </c>
      <c r="D51" s="3" t="s">
        <v>389</v>
      </c>
      <c r="E51" s="3" t="s">
        <v>390</v>
      </c>
      <c r="F51" s="3" t="s">
        <v>67</v>
      </c>
      <c r="G51" s="3" t="s">
        <v>23</v>
      </c>
      <c r="H51" s="3" t="s">
        <v>21</v>
      </c>
      <c r="I51" s="3"/>
    </row>
    <row r="52" ht="14.25" customHeight="1">
      <c r="A52" s="3">
        <v>51.0</v>
      </c>
      <c r="B52" s="3" t="s">
        <v>377</v>
      </c>
      <c r="C52" s="3" t="s">
        <v>394</v>
      </c>
      <c r="D52" s="3" t="s">
        <v>395</v>
      </c>
      <c r="E52" s="3" t="s">
        <v>396</v>
      </c>
      <c r="F52" s="3" t="s">
        <v>67</v>
      </c>
      <c r="G52" s="3" t="s">
        <v>23</v>
      </c>
      <c r="H52" s="3" t="s">
        <v>21</v>
      </c>
      <c r="I52" s="3"/>
    </row>
    <row r="53" ht="14.25" customHeight="1">
      <c r="A53" s="3">
        <v>52.0</v>
      </c>
      <c r="B53" s="3" t="s">
        <v>377</v>
      </c>
      <c r="C53" s="3" t="s">
        <v>400</v>
      </c>
      <c r="D53" s="3" t="s">
        <v>401</v>
      </c>
      <c r="E53" s="3" t="s">
        <v>403</v>
      </c>
      <c r="F53" s="3" t="s">
        <v>67</v>
      </c>
      <c r="G53" s="3" t="s">
        <v>23</v>
      </c>
      <c r="H53" s="3" t="s">
        <v>21</v>
      </c>
      <c r="I53" s="3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53"/>
  <conditionalFormatting sqref="H2:H53">
    <cfRule type="containsText" dxfId="0" priority="1" operator="containsText" text="Not Started">
      <formula>NOT(ISERROR(SEARCH(("Not Started"),(H2))))</formula>
    </cfRule>
  </conditionalFormatting>
  <conditionalFormatting sqref="H2:H53">
    <cfRule type="containsText" dxfId="2" priority="2" operator="containsText" text="Completed">
      <formula>NOT(ISERROR(SEARCH(("Completed"),(H2))))</formula>
    </cfRule>
  </conditionalFormatting>
  <conditionalFormatting sqref="H2:H53">
    <cfRule type="containsText" dxfId="4" priority="3" operator="containsText" text="Revision">
      <formula>NOT(ISERROR(SEARCH(("Revision"),(H2))))</formula>
    </cfRule>
  </conditionalFormatting>
  <dataValidations>
    <dataValidation type="list" allowBlank="1" sqref="H2:H53">
      <formula1>"Not Started,In Progress,Completed,Revision"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4.86"/>
    <col customWidth="1" min="3" max="3" width="35.0"/>
    <col customWidth="1" min="4" max="4" width="39.29"/>
    <col customWidth="1" min="5" max="5" width="18.0"/>
    <col customWidth="1" min="6" max="6" width="27.43"/>
    <col customWidth="1" min="7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ht="14.25" customHeight="1">
      <c r="A2" s="3" t="s">
        <v>7</v>
      </c>
      <c r="B2" s="3" t="s">
        <v>9</v>
      </c>
      <c r="C2" s="3" t="s">
        <v>10</v>
      </c>
      <c r="D2" s="3" t="s">
        <v>11</v>
      </c>
      <c r="E2" s="3" t="s">
        <v>21</v>
      </c>
      <c r="F2" s="3"/>
    </row>
    <row r="3" ht="14.25" customHeight="1">
      <c r="A3" s="3" t="s">
        <v>7</v>
      </c>
      <c r="B3" s="3" t="s">
        <v>26</v>
      </c>
      <c r="C3" s="3" t="s">
        <v>10</v>
      </c>
      <c r="D3" s="3" t="s">
        <v>29</v>
      </c>
      <c r="E3" s="3" t="s">
        <v>21</v>
      </c>
      <c r="F3" s="3"/>
    </row>
    <row r="4" ht="14.25" customHeight="1">
      <c r="A4" s="3" t="s">
        <v>7</v>
      </c>
      <c r="B4" s="3" t="s">
        <v>30</v>
      </c>
      <c r="C4" s="3" t="s">
        <v>31</v>
      </c>
      <c r="D4" s="3" t="s">
        <v>32</v>
      </c>
      <c r="E4" s="3" t="s">
        <v>21</v>
      </c>
      <c r="F4" s="3"/>
    </row>
    <row r="5" ht="14.25" customHeight="1">
      <c r="A5" s="3" t="s">
        <v>7</v>
      </c>
      <c r="B5" s="3" t="s">
        <v>33</v>
      </c>
      <c r="C5" s="3" t="s">
        <v>34</v>
      </c>
      <c r="D5" s="3" t="s">
        <v>35</v>
      </c>
      <c r="E5" s="3" t="s">
        <v>21</v>
      </c>
      <c r="F5" s="3"/>
    </row>
    <row r="6" ht="14.25" customHeight="1">
      <c r="A6" s="3" t="s">
        <v>7</v>
      </c>
      <c r="B6" s="3" t="s">
        <v>37</v>
      </c>
      <c r="C6" s="3" t="s">
        <v>38</v>
      </c>
      <c r="D6" s="3" t="s">
        <v>40</v>
      </c>
      <c r="E6" s="3" t="s">
        <v>21</v>
      </c>
      <c r="F6" s="3"/>
    </row>
    <row r="7" ht="14.25" customHeight="1">
      <c r="A7" s="3" t="s">
        <v>7</v>
      </c>
      <c r="B7" s="3" t="s">
        <v>43</v>
      </c>
      <c r="C7" s="3" t="s">
        <v>10</v>
      </c>
      <c r="D7" s="3" t="s">
        <v>46</v>
      </c>
      <c r="E7" s="3" t="s">
        <v>21</v>
      </c>
      <c r="F7" s="3"/>
    </row>
    <row r="8" ht="14.25" customHeight="1">
      <c r="A8" s="3" t="s">
        <v>47</v>
      </c>
      <c r="B8" s="3" t="s">
        <v>48</v>
      </c>
      <c r="C8" s="3" t="s">
        <v>50</v>
      </c>
      <c r="D8" s="3" t="s">
        <v>52</v>
      </c>
      <c r="E8" s="3" t="s">
        <v>21</v>
      </c>
      <c r="F8" s="3"/>
    </row>
    <row r="9" ht="14.25" customHeight="1">
      <c r="A9" s="3" t="s">
        <v>47</v>
      </c>
      <c r="B9" s="3" t="s">
        <v>57</v>
      </c>
      <c r="C9" s="3" t="s">
        <v>50</v>
      </c>
      <c r="D9" s="3" t="s">
        <v>60</v>
      </c>
      <c r="E9" s="3" t="s">
        <v>21</v>
      </c>
      <c r="F9" s="3"/>
    </row>
    <row r="10" ht="14.25" customHeight="1">
      <c r="A10" s="3" t="s">
        <v>47</v>
      </c>
      <c r="B10" s="3" t="s">
        <v>64</v>
      </c>
      <c r="C10" s="3" t="s">
        <v>10</v>
      </c>
      <c r="D10" s="3" t="s">
        <v>66</v>
      </c>
      <c r="E10" s="3" t="s">
        <v>21</v>
      </c>
      <c r="F10" s="3"/>
    </row>
    <row r="11" ht="14.25" customHeight="1">
      <c r="A11" s="3" t="s">
        <v>47</v>
      </c>
      <c r="B11" s="3" t="s">
        <v>71</v>
      </c>
      <c r="C11" s="3" t="s">
        <v>72</v>
      </c>
      <c r="D11" s="3" t="s">
        <v>73</v>
      </c>
      <c r="E11" s="3" t="s">
        <v>21</v>
      </c>
      <c r="F11" s="3"/>
    </row>
    <row r="12" ht="14.25" customHeight="1">
      <c r="A12" s="3" t="s">
        <v>47</v>
      </c>
      <c r="B12" s="3" t="s">
        <v>78</v>
      </c>
      <c r="C12" s="3" t="s">
        <v>38</v>
      </c>
      <c r="D12" s="3" t="s">
        <v>81</v>
      </c>
      <c r="E12" s="3" t="s">
        <v>21</v>
      </c>
      <c r="F12" s="3"/>
    </row>
    <row r="13" ht="14.25" customHeight="1">
      <c r="A13" s="3" t="s">
        <v>47</v>
      </c>
      <c r="B13" s="3" t="s">
        <v>84</v>
      </c>
      <c r="C13" s="3" t="s">
        <v>38</v>
      </c>
      <c r="D13" s="3" t="s">
        <v>86</v>
      </c>
      <c r="E13" s="3" t="s">
        <v>21</v>
      </c>
      <c r="F13" s="3"/>
    </row>
    <row r="14" ht="14.25" customHeight="1">
      <c r="A14" s="3" t="s">
        <v>47</v>
      </c>
      <c r="B14" s="3" t="s">
        <v>92</v>
      </c>
      <c r="C14" s="3" t="s">
        <v>93</v>
      </c>
      <c r="D14" s="3" t="s">
        <v>94</v>
      </c>
      <c r="E14" s="3" t="s">
        <v>21</v>
      </c>
      <c r="F14" s="3"/>
    </row>
    <row r="15" ht="14.25" customHeight="1">
      <c r="A15" s="3" t="s">
        <v>47</v>
      </c>
      <c r="B15" s="3" t="s">
        <v>101</v>
      </c>
      <c r="C15" s="3" t="s">
        <v>102</v>
      </c>
      <c r="D15" s="3" t="s">
        <v>103</v>
      </c>
      <c r="E15" s="3" t="s">
        <v>21</v>
      </c>
      <c r="F15" s="3"/>
    </row>
    <row r="16" ht="14.25" customHeight="1">
      <c r="A16" s="3" t="s">
        <v>105</v>
      </c>
      <c r="B16" s="3" t="s">
        <v>107</v>
      </c>
      <c r="C16" s="3" t="s">
        <v>110</v>
      </c>
      <c r="D16" s="3" t="s">
        <v>113</v>
      </c>
      <c r="E16" s="3" t="s">
        <v>21</v>
      </c>
      <c r="F16" s="3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16"/>
  <dataValidations>
    <dataValidation type="list" allowBlank="1" sqref="E2:E16">
      <formula1>"Not Started,In Progress,Completed,Revision"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94.86"/>
  </cols>
  <sheetData>
    <row r="1">
      <c r="A1" s="5" t="s">
        <v>76</v>
      </c>
      <c r="B1" s="5" t="s">
        <v>7</v>
      </c>
      <c r="C1" s="5" t="s">
        <v>128</v>
      </c>
      <c r="D1" s="5" t="s">
        <v>131</v>
      </c>
      <c r="E1" s="6"/>
      <c r="F1" s="6"/>
    </row>
    <row r="2">
      <c r="A2" s="7" t="s">
        <v>147</v>
      </c>
      <c r="B2" s="8">
        <f>COUNTA('DOM Roadmap'!C2:C200)</f>
        <v>56</v>
      </c>
      <c r="C2" s="8">
        <f>COUNTA('Async JS Roadmap'!C2:C200)</f>
        <v>52</v>
      </c>
      <c r="D2" s="8">
        <f t="shared" ref="D2:D3" si="1">B2+C2</f>
        <v>108</v>
      </c>
      <c r="E2" s="6"/>
      <c r="F2" s="6"/>
    </row>
    <row r="3">
      <c r="A3" s="7" t="s">
        <v>62</v>
      </c>
      <c r="B3" s="8">
        <f>COUNTIF('DOM Roadmap'!H2:H200,"Completed")</f>
        <v>38</v>
      </c>
      <c r="C3" s="8">
        <f>COUNTIF('Async JS Roadmap'!H2:H200,"Completed")</f>
        <v>30</v>
      </c>
      <c r="D3" s="8">
        <f t="shared" si="1"/>
        <v>68</v>
      </c>
      <c r="E3" s="6"/>
      <c r="F3" s="6"/>
    </row>
    <row r="4">
      <c r="A4" s="7" t="s">
        <v>331</v>
      </c>
      <c r="B4" s="8">
        <f>COUNTIF('DOM Roadmap'!H2:H200,"In Progress")</f>
        <v>0</v>
      </c>
      <c r="C4" s="8">
        <f>COUNTIF('Async JS Roadmap'!H2:H200,"In Progress")</f>
        <v>0</v>
      </c>
      <c r="D4" s="8">
        <f t="shared" ref="D4:D6" si="2">C4+B4</f>
        <v>0</v>
      </c>
      <c r="E4" s="6"/>
      <c r="F4" s="6"/>
    </row>
    <row r="5">
      <c r="A5" s="7" t="s">
        <v>21</v>
      </c>
      <c r="B5" s="8">
        <f>COUNTIF('DOM Roadmap'!H2:H200,"Not Started")</f>
        <v>9</v>
      </c>
      <c r="C5" s="8">
        <f>COUNTIF('Async JS Roadmap'!H2:H200,"Not Started")</f>
        <v>17</v>
      </c>
      <c r="D5" s="8">
        <f t="shared" si="2"/>
        <v>26</v>
      </c>
      <c r="E5" s="6"/>
      <c r="F5" s="6"/>
    </row>
    <row r="6">
      <c r="A6" s="7" t="s">
        <v>198</v>
      </c>
      <c r="B6" s="8">
        <f>COUNTIF('DOM Roadmap'!H2:H200,"Revision")</f>
        <v>9</v>
      </c>
      <c r="C6" s="8">
        <f>COUNTIF('Async JS Roadmap'!H2:H200,"Revision")</f>
        <v>5</v>
      </c>
      <c r="D6" s="8">
        <f t="shared" si="2"/>
        <v>14</v>
      </c>
      <c r="E6" s="6"/>
      <c r="F6" s="6"/>
    </row>
    <row r="7">
      <c r="A7" s="7" t="s">
        <v>416</v>
      </c>
      <c r="B7" s="9">
        <f t="shared" ref="B7:D7" si="3">IFERROR(B3/B2,0)</f>
        <v>0.6785714286</v>
      </c>
      <c r="C7" s="8">
        <f t="shared" si="3"/>
        <v>0.5769230769</v>
      </c>
      <c r="D7" s="9">
        <f t="shared" si="3"/>
        <v>0.6296296296</v>
      </c>
      <c r="E7" s="6"/>
      <c r="F7" s="6"/>
    </row>
    <row r="8">
      <c r="A8" s="6"/>
      <c r="B8" s="6"/>
      <c r="C8" s="6"/>
      <c r="D8" s="6"/>
      <c r="E8" s="6"/>
      <c r="F8" s="6"/>
    </row>
    <row r="9">
      <c r="A9" s="10" t="s">
        <v>422</v>
      </c>
      <c r="B9" s="6"/>
      <c r="C9" s="6"/>
      <c r="D9" s="6"/>
      <c r="E9" s="6"/>
      <c r="F9" s="6"/>
    </row>
    <row r="10">
      <c r="A10" s="11" t="s">
        <v>423</v>
      </c>
    </row>
    <row r="11">
      <c r="A11" s="11" t="s">
        <v>424</v>
      </c>
    </row>
    <row r="12">
      <c r="A12" s="11" t="s">
        <v>425</v>
      </c>
    </row>
  </sheetData>
  <mergeCells count="3">
    <mergeCell ref="A10:F10"/>
    <mergeCell ref="A11:F11"/>
    <mergeCell ref="A12:F1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2026-09-22T05:23:21Z</dcterms:created>
  <dc:creator>openpyxl</dc:creator>
</cp:coreProperties>
</file>